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8C20070-AE45-41E3-B1F2-BD05553B167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hart1" sheetId="1" r:id="rId1"/>
    <sheet name="Sheet1" sheetId="2" r:id="rId2"/>
    <sheet name="Sheet2" sheetId="3" r:id="rId3"/>
    <sheet name="Sheet3" sheetId="4" r:id="rId4"/>
  </sheets>
  <calcPr calcId="191029"/>
  <extLst>
    <ext uri="GoogleSheetsCustomDataVersion2">
      <go:sheetsCustomData xmlns:go="http://customooxmlschemas.google.com/" r:id="rId7" roundtripDataChecksum="ak33zr7x7foegUA/ay4CDuV3lsSSm0BHDgKMKn4ZJy8="/>
    </ext>
  </extLst>
</workbook>
</file>

<file path=xl/calcChain.xml><?xml version="1.0" encoding="utf-8"?>
<calcChain xmlns="http://schemas.openxmlformats.org/spreadsheetml/2006/main"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R6" i="2"/>
  <c r="A53" i="3" l="1"/>
  <c r="R544" i="2"/>
  <c r="R545" i="2"/>
  <c r="R546" i="2"/>
  <c r="R543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R627" i="2"/>
  <c r="R626" i="2"/>
  <c r="R625" i="2"/>
  <c r="R624" i="2"/>
  <c r="R623" i="2"/>
  <c r="R622" i="2"/>
  <c r="R621" i="2"/>
  <c r="R619" i="2"/>
  <c r="R617" i="2"/>
  <c r="R613" i="2"/>
  <c r="R609" i="2"/>
  <c r="R605" i="2"/>
  <c r="R601" i="2"/>
  <c r="R597" i="2"/>
  <c r="R596" i="2"/>
  <c r="R594" i="2"/>
  <c r="R588" i="2"/>
  <c r="R587" i="2"/>
  <c r="R585" i="2"/>
  <c r="R584" i="2"/>
  <c r="R581" i="2"/>
  <c r="R580" i="2"/>
  <c r="R576" i="2"/>
  <c r="R575" i="2"/>
  <c r="R574" i="2"/>
  <c r="R572" i="2"/>
  <c r="R571" i="2"/>
  <c r="R570" i="2"/>
  <c r="R567" i="2"/>
  <c r="R566" i="2"/>
  <c r="R565" i="2"/>
  <c r="R564" i="2"/>
  <c r="R563" i="2"/>
  <c r="R562" i="2"/>
  <c r="R561" i="2"/>
  <c r="R559" i="2"/>
  <c r="R557" i="2"/>
  <c r="R555" i="2"/>
  <c r="R553" i="2"/>
  <c r="R551" i="2"/>
  <c r="R549" i="2"/>
  <c r="R547" i="2"/>
  <c r="R540" i="2"/>
  <c r="R536" i="2"/>
  <c r="R535" i="2"/>
  <c r="R534" i="2"/>
  <c r="R533" i="2"/>
  <c r="R532" i="2"/>
  <c r="R531" i="2"/>
  <c r="R530" i="2"/>
  <c r="R528" i="2"/>
  <c r="R527" i="2"/>
  <c r="R525" i="2"/>
  <c r="R523" i="2"/>
  <c r="R521" i="2"/>
  <c r="R520" i="2"/>
  <c r="R516" i="2"/>
  <c r="R511" i="2"/>
  <c r="R510" i="2"/>
  <c r="R507" i="2"/>
  <c r="R504" i="2"/>
  <c r="R500" i="2"/>
  <c r="R499" i="2"/>
  <c r="R498" i="2"/>
  <c r="R497" i="2"/>
  <c r="R496" i="2"/>
  <c r="R492" i="2"/>
  <c r="R490" i="2"/>
  <c r="R485" i="2"/>
  <c r="R484" i="2"/>
  <c r="R483" i="2"/>
  <c r="R482" i="2"/>
  <c r="R480" i="2"/>
  <c r="R477" i="2"/>
  <c r="R475" i="2"/>
  <c r="R474" i="2"/>
  <c r="R472" i="2"/>
  <c r="R469" i="2"/>
  <c r="R468" i="2"/>
  <c r="R466" i="2"/>
  <c r="R465" i="2"/>
  <c r="R458" i="2"/>
  <c r="R455" i="2"/>
  <c r="R453" i="2"/>
  <c r="R451" i="2"/>
  <c r="R445" i="2"/>
  <c r="R440" i="2"/>
  <c r="R435" i="2"/>
  <c r="R430" i="2"/>
  <c r="R429" i="2"/>
  <c r="R428" i="2"/>
  <c r="R427" i="2"/>
  <c r="R426" i="2"/>
  <c r="R425" i="2"/>
  <c r="R424" i="2"/>
  <c r="R423" i="2"/>
  <c r="R422" i="2"/>
  <c r="R421" i="2"/>
  <c r="R419" i="2"/>
  <c r="R417" i="2"/>
  <c r="R414" i="2"/>
  <c r="R413" i="2"/>
  <c r="R410" i="2"/>
  <c r="R406" i="2"/>
  <c r="R405" i="2"/>
  <c r="R404" i="2"/>
  <c r="R400" i="2"/>
  <c r="R397" i="2"/>
  <c r="R391" i="2"/>
  <c r="R390" i="2"/>
  <c r="R389" i="2"/>
  <c r="R388" i="2"/>
  <c r="R386" i="2"/>
  <c r="R384" i="2"/>
  <c r="R382" i="2"/>
  <c r="R381" i="2"/>
  <c r="R380" i="2"/>
  <c r="R378" i="2"/>
  <c r="R377" i="2"/>
  <c r="R373" i="2"/>
  <c r="R370" i="2"/>
  <c r="R367" i="2"/>
  <c r="R364" i="2"/>
  <c r="R362" i="2"/>
  <c r="R361" i="2"/>
  <c r="R360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4" i="2"/>
  <c r="R342" i="2"/>
  <c r="R340" i="2"/>
  <c r="R338" i="2"/>
  <c r="R337" i="2"/>
  <c r="R336" i="2"/>
  <c r="R335" i="2"/>
  <c r="R334" i="2"/>
  <c r="R333" i="2"/>
  <c r="R332" i="2"/>
  <c r="R331" i="2"/>
  <c r="R330" i="2"/>
  <c r="R329" i="2"/>
  <c r="R323" i="2"/>
  <c r="R321" i="2"/>
  <c r="R319" i="2"/>
  <c r="R316" i="2"/>
  <c r="R315" i="2"/>
  <c r="R313" i="2"/>
  <c r="R311" i="2"/>
  <c r="R308" i="2"/>
  <c r="R305" i="2"/>
  <c r="R302" i="2"/>
  <c r="R297" i="2"/>
  <c r="R296" i="2"/>
  <c r="R295" i="2"/>
  <c r="R294" i="2"/>
  <c r="R292" i="2"/>
  <c r="R291" i="2"/>
  <c r="R290" i="2"/>
  <c r="R288" i="2"/>
  <c r="R286" i="2"/>
  <c r="R285" i="2"/>
  <c r="R283" i="2"/>
  <c r="R281" i="2"/>
  <c r="R279" i="2"/>
  <c r="R275" i="2"/>
  <c r="R274" i="2"/>
  <c r="R271" i="2"/>
  <c r="R270" i="2"/>
  <c r="R268" i="2"/>
  <c r="R265" i="2"/>
  <c r="R262" i="2"/>
  <c r="R260" i="2"/>
  <c r="R259" i="2"/>
  <c r="R254" i="2"/>
  <c r="R252" i="2"/>
  <c r="R250" i="2"/>
  <c r="R248" i="2"/>
  <c r="R246" i="2"/>
  <c r="R244" i="2"/>
  <c r="R242" i="2"/>
  <c r="R240" i="2"/>
  <c r="R238" i="2"/>
  <c r="R236" i="2"/>
  <c r="R234" i="2"/>
  <c r="R232" i="2"/>
  <c r="R230" i="2"/>
  <c r="R228" i="2"/>
  <c r="R226" i="2"/>
  <c r="R224" i="2"/>
  <c r="R222" i="2"/>
  <c r="R221" i="2"/>
  <c r="R220" i="2"/>
  <c r="R216" i="2"/>
  <c r="R215" i="2"/>
  <c r="R214" i="2"/>
  <c r="R211" i="2"/>
  <c r="R210" i="2"/>
  <c r="R208" i="2"/>
  <c r="R200" i="2"/>
  <c r="R196" i="2"/>
  <c r="R194" i="2"/>
  <c r="R193" i="2"/>
  <c r="R192" i="2"/>
  <c r="R185" i="2"/>
  <c r="R182" i="2"/>
  <c r="R179" i="2"/>
  <c r="R175" i="2"/>
  <c r="R170" i="2"/>
  <c r="R169" i="2"/>
  <c r="R167" i="2"/>
  <c r="R165" i="2"/>
  <c r="R164" i="2"/>
  <c r="R163" i="2"/>
  <c r="R159" i="2"/>
  <c r="R158" i="2"/>
  <c r="R153" i="2"/>
  <c r="R152" i="2"/>
  <c r="R150" i="2"/>
  <c r="R149" i="2"/>
  <c r="R148" i="2"/>
  <c r="R147" i="2"/>
  <c r="R143" i="2"/>
  <c r="R141" i="2"/>
  <c r="R139" i="2"/>
  <c r="R138" i="2"/>
  <c r="R137" i="2"/>
  <c r="R135" i="2"/>
  <c r="R131" i="2"/>
  <c r="R128" i="2"/>
  <c r="R125" i="2"/>
  <c r="R123" i="2"/>
  <c r="R119" i="2"/>
  <c r="R114" i="2"/>
  <c r="R111" i="2"/>
  <c r="R108" i="2"/>
  <c r="R106" i="2"/>
  <c r="R104" i="2"/>
  <c r="R102" i="2"/>
  <c r="R97" i="2"/>
  <c r="R93" i="2"/>
  <c r="R89" i="2"/>
  <c r="R85" i="2"/>
  <c r="R82" i="2"/>
  <c r="R81" i="2"/>
  <c r="R77" i="2"/>
  <c r="R76" i="2"/>
  <c r="R74" i="2"/>
  <c r="R70" i="2"/>
  <c r="R66" i="2"/>
  <c r="R57" i="2"/>
  <c r="R56" i="2"/>
  <c r="R53" i="2"/>
  <c r="R48" i="2"/>
  <c r="R45" i="2"/>
  <c r="R42" i="2"/>
  <c r="R37" i="2"/>
  <c r="R34" i="2"/>
  <c r="R31" i="2"/>
  <c r="R27" i="2"/>
  <c r="R21" i="2"/>
  <c r="R20" i="2"/>
  <c r="R18" i="2"/>
  <c r="R17" i="2"/>
  <c r="R16" i="2"/>
  <c r="R14" i="2"/>
  <c r="R12" i="2"/>
  <c r="R11" i="2"/>
  <c r="R10" i="2"/>
  <c r="R8" i="2"/>
  <c r="R7" i="2"/>
  <c r="R3" i="2"/>
  <c r="R2" i="2"/>
</calcChain>
</file>

<file path=xl/sharedStrings.xml><?xml version="1.0" encoding="utf-8"?>
<sst xmlns="http://schemas.openxmlformats.org/spreadsheetml/2006/main" count="2329" uniqueCount="411">
  <si>
    <t>Penyewa</t>
  </si>
  <si>
    <t>Penyewa ID</t>
  </si>
  <si>
    <t>Unit</t>
  </si>
  <si>
    <t>Driver</t>
  </si>
  <si>
    <t>Tanggal Mulai</t>
  </si>
  <si>
    <t>Tanggal Selesai</t>
  </si>
  <si>
    <t>Rute</t>
  </si>
  <si>
    <t>Harga</t>
  </si>
  <si>
    <t>Biaya Sewa Rekanan</t>
  </si>
  <si>
    <t>Gaji Driver</t>
  </si>
  <si>
    <t>Biaya BBM(Rp)</t>
  </si>
  <si>
    <t>Biaya Toll/Parkir (Rp)</t>
  </si>
  <si>
    <t>Biaya Lain- Lain (Rp)</t>
  </si>
  <si>
    <t>Ket</t>
  </si>
  <si>
    <t>Total Margin</t>
  </si>
  <si>
    <t>A0001</t>
  </si>
  <si>
    <t>Innova Reborn</t>
  </si>
  <si>
    <t>Mas Ari</t>
  </si>
  <si>
    <t>Kediri</t>
  </si>
  <si>
    <t>DA</t>
  </si>
  <si>
    <t>A0002</t>
  </si>
  <si>
    <t>Yoni</t>
  </si>
  <si>
    <t>Pak Yudi</t>
  </si>
  <si>
    <t>Tf In - Surabaya - Bromo - Malang</t>
  </si>
  <si>
    <t>inap</t>
  </si>
  <si>
    <t>Innova</t>
  </si>
  <si>
    <t>Pak Malik</t>
  </si>
  <si>
    <t>Surabaya</t>
  </si>
  <si>
    <t>D0001</t>
  </si>
  <si>
    <t>Ayu</t>
  </si>
  <si>
    <t>Mas Budi</t>
  </si>
  <si>
    <t>Tuban</t>
  </si>
  <si>
    <t>A0004</t>
  </si>
  <si>
    <t>um</t>
  </si>
  <si>
    <t>Jombang</t>
  </si>
  <si>
    <t>Rakih</t>
  </si>
  <si>
    <t>Mas Bayu</t>
  </si>
  <si>
    <t>Semenep</t>
  </si>
  <si>
    <t>Premio</t>
  </si>
  <si>
    <t>Pak Muin</t>
  </si>
  <si>
    <t>Surabaya - Kediri - Surabaya</t>
  </si>
  <si>
    <t>Nony</t>
  </si>
  <si>
    <t>Mas Affan</t>
  </si>
  <si>
    <t>Mojokerto - Krian</t>
  </si>
  <si>
    <t>Surabaya dan Bandara 3x</t>
  </si>
  <si>
    <t>tip</t>
  </si>
  <si>
    <t>Bu Anna</t>
  </si>
  <si>
    <t>P0001</t>
  </si>
  <si>
    <t>Bromo</t>
  </si>
  <si>
    <t>Yunan</t>
  </si>
  <si>
    <t>Surabaya - Malang - Bromo - Surabaya - Half day Surabaya - Tf out</t>
  </si>
  <si>
    <t>Andy</t>
  </si>
  <si>
    <t>Tf In - Surabaya - bromo - Ijen - Empty Run</t>
  </si>
  <si>
    <t>Sherly</t>
  </si>
  <si>
    <t>Surabaya - Bromo - Surabaya</t>
  </si>
  <si>
    <t>Tina</t>
  </si>
  <si>
    <t>Pak Ibrahim</t>
  </si>
  <si>
    <t>Tf In - Surabaya - Bromo - Surabaya</t>
  </si>
  <si>
    <t>Hiace</t>
  </si>
  <si>
    <t>Mas Evan</t>
  </si>
  <si>
    <t>Bali</t>
  </si>
  <si>
    <t>Pak Rudi</t>
  </si>
  <si>
    <t>Surabaya - Malang</t>
  </si>
  <si>
    <t>Surabaya - Bromo - Tumpak Sewu - Malang - Surabaya</t>
  </si>
  <si>
    <t>Gojek Sedati - kantor</t>
  </si>
  <si>
    <t>Adventure Indonesia</t>
  </si>
  <si>
    <t>A0003</t>
  </si>
  <si>
    <t>Mas Herman</t>
  </si>
  <si>
    <t>Tf In - Bromo - Tf Out</t>
  </si>
  <si>
    <t>Uanag Makan + aqua tamu</t>
  </si>
  <si>
    <t>Bangkalan</t>
  </si>
  <si>
    <t>Medium Bus</t>
  </si>
  <si>
    <t>Malang - Batu - Bromo - Jogja - Magelang - Wonosobo - Semarang</t>
  </si>
  <si>
    <t>Mojokerto - Malang - Bromo - Surabaya</t>
  </si>
  <si>
    <t>Pak Sumantri</t>
  </si>
  <si>
    <t>Tf In - Surabaya - Bangkalan - Tf Out</t>
  </si>
  <si>
    <t>Faisal</t>
  </si>
  <si>
    <t>Tf In - Full Day Surabaya - Tf Out</t>
  </si>
  <si>
    <t>Lia</t>
  </si>
  <si>
    <t>Pasuruan</t>
  </si>
  <si>
    <t>P0002</t>
  </si>
  <si>
    <t>Mobil Box</t>
  </si>
  <si>
    <t>Jombang - Bromo - Banyuwangi - Surabaya</t>
  </si>
  <si>
    <t>Latief</t>
  </si>
  <si>
    <t>aqua tamu</t>
  </si>
  <si>
    <t>Pandaan</t>
  </si>
  <si>
    <t>P0003</t>
  </si>
  <si>
    <t>Jombang - Madiun - Nganjuk - Mojokerto - Surabaya</t>
  </si>
  <si>
    <t>2 karton le mineral 330ml</t>
  </si>
  <si>
    <t>Dimas</t>
  </si>
  <si>
    <t>P0004</t>
  </si>
  <si>
    <t>Surabaya - Bromo - Ijen - Tumpak Sewu - Surabaya</t>
  </si>
  <si>
    <t>P0005</t>
  </si>
  <si>
    <t>Alphard</t>
  </si>
  <si>
    <t>Tf In - Surabaya - Tf Out</t>
  </si>
  <si>
    <t>Bu Heri</t>
  </si>
  <si>
    <t>P0016</t>
  </si>
  <si>
    <t>Dieng - Jogja</t>
  </si>
  <si>
    <t>Muin</t>
  </si>
  <si>
    <t>P0006</t>
  </si>
  <si>
    <t>Mobil Aja</t>
  </si>
  <si>
    <t>Mas Wahyu</t>
  </si>
  <si>
    <t>Surabaya - Bromo</t>
  </si>
  <si>
    <t>Tf In - Tf Out</t>
  </si>
  <si>
    <t>D0002</t>
  </si>
  <si>
    <t>Bilqis</t>
  </si>
  <si>
    <t>Avanza</t>
  </si>
  <si>
    <t>Surabaya - Batu - Situbondo</t>
  </si>
  <si>
    <t>Surabaya - Malang - Tumpak Sewu - Bromo - Surabaya</t>
  </si>
  <si>
    <t>Bassori</t>
  </si>
  <si>
    <t>Pak Abdul</t>
  </si>
  <si>
    <t>P0007</t>
  </si>
  <si>
    <t>Lucky</t>
  </si>
  <si>
    <t>Pak Man</t>
  </si>
  <si>
    <t>P0008</t>
  </si>
  <si>
    <t>Surabaya - Batu - Blitar</t>
  </si>
  <si>
    <t>Subchan</t>
  </si>
  <si>
    <t>Mas ari</t>
  </si>
  <si>
    <t>Alai Travel</t>
  </si>
  <si>
    <t>Mojokerto - Bromo - Surabaya</t>
  </si>
  <si>
    <t>No Driver</t>
  </si>
  <si>
    <t>A0005</t>
  </si>
  <si>
    <t>Jemput Malang - Drop Bwi (Finish jm 02.00)</t>
  </si>
  <si>
    <t>Bu Elok</t>
  </si>
  <si>
    <t>P0009</t>
  </si>
  <si>
    <t>Pak Nardi</t>
  </si>
  <si>
    <t>Tegal - Jogja</t>
  </si>
  <si>
    <t>Bu Kunsri</t>
  </si>
  <si>
    <t>P0010</t>
  </si>
  <si>
    <t>Sarangan</t>
  </si>
  <si>
    <t>Mas Hermaan</t>
  </si>
  <si>
    <t>Agung Persada</t>
  </si>
  <si>
    <t>P0011</t>
  </si>
  <si>
    <t>Surabaya - Mojokerto</t>
  </si>
  <si>
    <t>Nganjuk</t>
  </si>
  <si>
    <t>Bu Lilik Sampurna</t>
  </si>
  <si>
    <t>P0012</t>
  </si>
  <si>
    <t>Malang</t>
  </si>
  <si>
    <t>Bu Retno Safitri</t>
  </si>
  <si>
    <t>P0013</t>
  </si>
  <si>
    <t>Deaa</t>
  </si>
  <si>
    <t>Madiun</t>
  </si>
  <si>
    <t>Bonie</t>
  </si>
  <si>
    <t>Magetan</t>
  </si>
  <si>
    <t>Premio VIP</t>
  </si>
  <si>
    <t>Surabaya - Bromo - Tumpak Sewu - Surabaya</t>
  </si>
  <si>
    <t>Tf In</t>
  </si>
  <si>
    <t>makan + Rokok</t>
  </si>
  <si>
    <t>Surabaya - Mojokerto - Jombang - Madiun - Nganjuk - Bandara</t>
  </si>
  <si>
    <t>le mineral</t>
  </si>
  <si>
    <t>Evan</t>
  </si>
  <si>
    <t>P0014</t>
  </si>
  <si>
    <t>Bu Nelly</t>
  </si>
  <si>
    <t>P0015</t>
  </si>
  <si>
    <t>Blitar</t>
  </si>
  <si>
    <t>Penginpaan 2 Malam</t>
  </si>
  <si>
    <t>Situbondo</t>
  </si>
  <si>
    <t>Gresik</t>
  </si>
  <si>
    <t xml:space="preserve">Agung Persada </t>
  </si>
  <si>
    <t>Drop Semarang</t>
  </si>
  <si>
    <t>Dinas  PU</t>
  </si>
  <si>
    <t>P0017</t>
  </si>
  <si>
    <t>Mas Putra</t>
  </si>
  <si>
    <t>Surabaya - Bromo = Ijen - T. Sewu</t>
  </si>
  <si>
    <t>Um dan inap 1 mlm</t>
  </si>
  <si>
    <t>Jember</t>
  </si>
  <si>
    <t>Pak Mastur</t>
  </si>
  <si>
    <t>P0018</t>
  </si>
  <si>
    <t>Bu Ika Ais Perdana</t>
  </si>
  <si>
    <t>Tf In - Surabaya - Bromo - Drop Ijen finish jm 2 + Empty Rrun</t>
  </si>
  <si>
    <t>Bu Lis</t>
  </si>
  <si>
    <t>P0019</t>
  </si>
  <si>
    <t>Bromo Midnight</t>
  </si>
  <si>
    <t>Bu Indah</t>
  </si>
  <si>
    <t>P0020</t>
  </si>
  <si>
    <t>Jogja</t>
  </si>
  <si>
    <t>Bu May</t>
  </si>
  <si>
    <t>P0021</t>
  </si>
  <si>
    <t>Elf</t>
  </si>
  <si>
    <t>Propery</t>
  </si>
  <si>
    <t>Tf In + Surabaya + Tf Out</t>
  </si>
  <si>
    <t>Mas Nanang Unesa</t>
  </si>
  <si>
    <t>P0022</t>
  </si>
  <si>
    <t>Mas Agung</t>
  </si>
  <si>
    <t>Pak Sutris</t>
  </si>
  <si>
    <t>Waroyo</t>
  </si>
  <si>
    <t>Nardi</t>
  </si>
  <si>
    <t>Sumantri</t>
  </si>
  <si>
    <t>Irfan</t>
  </si>
  <si>
    <t>Abdul aziz</t>
  </si>
  <si>
    <t>Mas Bintang</t>
  </si>
  <si>
    <t>Jemput Bromo - Surabaya, Mojokerto - Drop Bromo</t>
  </si>
  <si>
    <t>Lisa</t>
  </si>
  <si>
    <t>Udin</t>
  </si>
  <si>
    <t>Trenggalek</t>
  </si>
  <si>
    <t>Priyo</t>
  </si>
  <si>
    <t>Batu 3 hari</t>
  </si>
  <si>
    <t>Inap dan tambal</t>
  </si>
  <si>
    <t>Bu Sin</t>
  </si>
  <si>
    <t>P0023</t>
  </si>
  <si>
    <t>Mas Farrid</t>
  </si>
  <si>
    <t>Prigen</t>
  </si>
  <si>
    <t>Drop Pandaan</t>
  </si>
  <si>
    <t>Hotel</t>
  </si>
  <si>
    <t>Batu</t>
  </si>
  <si>
    <t>Mas Ari Bogang</t>
  </si>
  <si>
    <t>Eko</t>
  </si>
  <si>
    <t>Wahyu</t>
  </si>
  <si>
    <t>Malang 2 hari</t>
  </si>
  <si>
    <t>Anton</t>
  </si>
  <si>
    <t>Surabaya 2 hari</t>
  </si>
  <si>
    <t>Jemput Solo</t>
  </si>
  <si>
    <t>um +  Tip + Toll Berangkt</t>
  </si>
  <si>
    <t>Bu Hero</t>
  </si>
  <si>
    <t>P0024</t>
  </si>
  <si>
    <t>Snack</t>
  </si>
  <si>
    <t>P0025</t>
  </si>
  <si>
    <t>Lumajang</t>
  </si>
  <si>
    <t>Makaan</t>
  </si>
  <si>
    <t>drop Malang</t>
  </si>
  <si>
    <t>Mojokerto - Malang - T. Sewu - Trowulan - Malang - Surabaya</t>
  </si>
  <si>
    <t>Mobil Saja</t>
  </si>
  <si>
    <t>Surabaya - Bromo - Surabaya - Tf Out</t>
  </si>
  <si>
    <t>Tf In - Trowulan - Tf Out</t>
  </si>
  <si>
    <t>P0026</t>
  </si>
  <si>
    <t>Bu Iffa</t>
  </si>
  <si>
    <t>P0027</t>
  </si>
  <si>
    <t>Dieng</t>
  </si>
  <si>
    <t>Pak Saimun</t>
  </si>
  <si>
    <t>Banyuwangi</t>
  </si>
  <si>
    <t>Pamekasan</t>
  </si>
  <si>
    <t>Surabaya - Bromo = Probolinggo</t>
  </si>
  <si>
    <t>Toll Balik Stasiun</t>
  </si>
  <si>
    <t>Bu Yoni</t>
  </si>
  <si>
    <t>P0028</t>
  </si>
  <si>
    <t>Uang Makan</t>
  </si>
  <si>
    <t>Tf in - Surabaya - Mojokerto - Golf - Bromo</t>
  </si>
  <si>
    <t>Bu Umi</t>
  </si>
  <si>
    <t>P0029</t>
  </si>
  <si>
    <t>Zenix G</t>
  </si>
  <si>
    <t>Probolinggo</t>
  </si>
  <si>
    <t>Bu Rina</t>
  </si>
  <si>
    <t>P0030</t>
  </si>
  <si>
    <t>Yanto</t>
  </si>
  <si>
    <t>Jemput Bromo -- Surabaya - Drop Bromo</t>
  </si>
  <si>
    <t>gojek</t>
  </si>
  <si>
    <t>Wondo</t>
  </si>
  <si>
    <t>Petty</t>
  </si>
  <si>
    <t xml:space="preserve"> Drop dan Jemput di Malang</t>
  </si>
  <si>
    <t>Tf In and Out</t>
  </si>
  <si>
    <t>Inap</t>
  </si>
  <si>
    <t>Drop Malang</t>
  </si>
  <si>
    <t>Fariz</t>
  </si>
  <si>
    <t>Pak Priyo</t>
  </si>
  <si>
    <t>Bu Krisna</t>
  </si>
  <si>
    <t>Polrestabes</t>
  </si>
  <si>
    <t>P0031</t>
  </si>
  <si>
    <t>Jemput Malang</t>
  </si>
  <si>
    <t xml:space="preserve">Mas Budi </t>
  </si>
  <si>
    <t>Tf Out</t>
  </si>
  <si>
    <t xml:space="preserve">Mas Evan </t>
  </si>
  <si>
    <t>Bapak Rahman</t>
  </si>
  <si>
    <t>P0032</t>
  </si>
  <si>
    <t>Bu Niek</t>
  </si>
  <si>
    <t>P0033</t>
  </si>
  <si>
    <t>Dorp Kediri</t>
  </si>
  <si>
    <t>Kemendag</t>
  </si>
  <si>
    <t>P0034</t>
  </si>
  <si>
    <t>Tinaa</t>
  </si>
  <si>
    <t>Surabaya - Malang - Bromo - Surabaya</t>
  </si>
  <si>
    <t>Tf In - Surabaya - Malang - Surabaya</t>
  </si>
  <si>
    <t>Pety</t>
  </si>
  <si>
    <t>Sidoarjo</t>
  </si>
  <si>
    <t>Nganjuk - Kediri</t>
  </si>
  <si>
    <t>Nikita</t>
  </si>
  <si>
    <t>Mojokerto</t>
  </si>
  <si>
    <t>Arifin</t>
  </si>
  <si>
    <t xml:space="preserve">Surabaya - Trawas - Malang - Trawas - Jemput Trawas - Surabaya - Tf Out </t>
  </si>
  <si>
    <t>Inap 150 - um 50/day</t>
  </si>
  <si>
    <t>Mojokerto - Trowulan - Bromo - Surabaya - Tf Out</t>
  </si>
  <si>
    <t>buah apel</t>
  </si>
  <si>
    <t>Surabaya - Bromo - Ijen - Bali - Empty Run</t>
  </si>
  <si>
    <t>Mas Kiki</t>
  </si>
  <si>
    <t>Bromo - Drop Ijen</t>
  </si>
  <si>
    <t>Mobil aja</t>
  </si>
  <si>
    <t>Tf In - Surabaya - Bromo - Drop Ijen</t>
  </si>
  <si>
    <t>Surabaya - Drop Bromo - Bromo - Surabaya</t>
  </si>
  <si>
    <t>Jemput Trawas</t>
  </si>
  <si>
    <t>tf out</t>
  </si>
  <si>
    <t>Bu Yani</t>
  </si>
  <si>
    <t>P0035</t>
  </si>
  <si>
    <t>Lamongan</t>
  </si>
  <si>
    <t>Tf In - Surabaya - Bromo - Drop Ijen finish jm 3 + Empty Rrun</t>
  </si>
  <si>
    <t>Tf In - Surabaya - Bromo - Surabaya - Bromo - Surabaya</t>
  </si>
  <si>
    <t>Bojonegoro - Madiun 2 hari</t>
  </si>
  <si>
    <t>Surabaya - Banyuwanagi - Ijen - Pulau Merah - Banyuwangi - Bromo - Madakaripura - Bromo - Jogja - Borobudur</t>
  </si>
  <si>
    <t>ban</t>
  </si>
  <si>
    <t>Malang - Blitar</t>
  </si>
  <si>
    <t>Tuban  Bojonegoro</t>
  </si>
  <si>
    <t>Wondho</t>
  </si>
  <si>
    <t>Jemput Mojokerto - Drop Bromo</t>
  </si>
  <si>
    <t>Bromo - Ijen - Drop Bali - Surabaya - Empty Run</t>
  </si>
  <si>
    <t>Bojonegoro - Madiun</t>
  </si>
  <si>
    <t>Tf In Mojokerto - Bromo 2 hari - Drop Ijen - Empty Run</t>
  </si>
  <si>
    <t>Jemput Bromo - Drop Juanda</t>
  </si>
  <si>
    <t>Surabaya - Malang - Bromo - Drop Ijen finish jam 4 - Empty Run</t>
  </si>
  <si>
    <t>Jemput Gubeng - Bromo - Drop Ijen - Empty Run</t>
  </si>
  <si>
    <t>Doni</t>
  </si>
  <si>
    <t>P0036</t>
  </si>
  <si>
    <t>Mobi aja</t>
  </si>
  <si>
    <t>Drop Banyuwangi</t>
  </si>
  <si>
    <t>Mojokerto - Bromo 2 hari - Surabaya - Tf Out</t>
  </si>
  <si>
    <t>Salim</t>
  </si>
  <si>
    <t>Pamekasan - Sumenep</t>
  </si>
  <si>
    <t>tambal ban</t>
  </si>
  <si>
    <t>Pamekasan 2 hari</t>
  </si>
  <si>
    <t>Bapak Haz</t>
  </si>
  <si>
    <t>P0037</t>
  </si>
  <si>
    <t>Drop Bromo</t>
  </si>
  <si>
    <t>Mas Agoes</t>
  </si>
  <si>
    <t>Saimun</t>
  </si>
  <si>
    <t>Malik</t>
  </si>
  <si>
    <t>Hendro</t>
  </si>
  <si>
    <t>Surabaya - Bromo - Drop Ijen - Empty Run</t>
  </si>
  <si>
    <t>Bank DKI</t>
  </si>
  <si>
    <t>P0038</t>
  </si>
  <si>
    <t>Surabaya - Gresik - Surabaya - Drop Bandara</t>
  </si>
  <si>
    <t>Tf In 7 kali</t>
  </si>
  <si>
    <t>Maa Evan</t>
  </si>
  <si>
    <t>Riski</t>
  </si>
  <si>
    <t>Fara</t>
  </si>
  <si>
    <t>Agus</t>
  </si>
  <si>
    <t>Bromo 2 hari</t>
  </si>
  <si>
    <t>Jemput Bromo - Surabaya</t>
  </si>
  <si>
    <t>Saeful Aziz</t>
  </si>
  <si>
    <t>Blind Van</t>
  </si>
  <si>
    <t>Suprapto</t>
  </si>
  <si>
    <t>Edi</t>
  </si>
  <si>
    <t>Surabaya - Sidoarjo</t>
  </si>
  <si>
    <t>Shuttle bndara hotel 5x</t>
  </si>
  <si>
    <t>Basorri</t>
  </si>
  <si>
    <t>P0039</t>
  </si>
  <si>
    <t>Bangil</t>
  </si>
  <si>
    <t>Surabaya - Bromo - Malang - Surabaya</t>
  </si>
  <si>
    <t>Bu Nurul</t>
  </si>
  <si>
    <t>P0040</t>
  </si>
  <si>
    <t>Bandung 3 hari</t>
  </si>
  <si>
    <t>Bu Sugeng</t>
  </si>
  <si>
    <t>P0041</t>
  </si>
  <si>
    <t>Bojonegoro</t>
  </si>
  <si>
    <t>Tanggul Jember - Bangil - Gresik</t>
  </si>
  <si>
    <t>Bangil - Solo</t>
  </si>
  <si>
    <t>tol pulng</t>
  </si>
  <si>
    <t>Surabaya - Tf In 5 kali</t>
  </si>
  <si>
    <t>P0042</t>
  </si>
  <si>
    <t>Bapak Apriza</t>
  </si>
  <si>
    <t>P0043</t>
  </si>
  <si>
    <t>Bangil - Malang - Surabaya</t>
  </si>
  <si>
    <t>Tf In 2x</t>
  </si>
  <si>
    <t>Surabaya - Bromo - Surabaya - Half Day - Tf Out</t>
  </si>
  <si>
    <t>Bandung</t>
  </si>
  <si>
    <t>Jogja 2 hari</t>
  </si>
  <si>
    <t>um + Inp</t>
  </si>
  <si>
    <t>snack</t>
  </si>
  <si>
    <t>cuci</t>
  </si>
  <si>
    <t>Jemput Bromo</t>
  </si>
  <si>
    <t>Bu Tatik</t>
  </si>
  <si>
    <t>P0044</t>
  </si>
  <si>
    <t>Surabaya - Malang - Surabaya 2 hari</t>
  </si>
  <si>
    <t>No</t>
  </si>
  <si>
    <t>MONAS</t>
  </si>
  <si>
    <t>HARYONO</t>
  </si>
  <si>
    <t>EXO</t>
  </si>
  <si>
    <t>DINAS PU</t>
  </si>
  <si>
    <t>DINAS DLH</t>
  </si>
  <si>
    <t>Bapak Yahya Zaini</t>
  </si>
  <si>
    <t>Bapak Rudi</t>
  </si>
  <si>
    <t>Bapak Ridha</t>
  </si>
  <si>
    <t>Bu Rofiqoh</t>
  </si>
  <si>
    <t>Ribka</t>
  </si>
  <si>
    <t>Fitri</t>
  </si>
  <si>
    <t>Henny</t>
  </si>
  <si>
    <t>Rahma</t>
  </si>
  <si>
    <t xml:space="preserve">Kris </t>
  </si>
  <si>
    <t>Bu Novi</t>
  </si>
  <si>
    <t xml:space="preserve">Bina </t>
  </si>
  <si>
    <t>Pak Yahya Zaini</t>
  </si>
  <si>
    <t>Tamu</t>
  </si>
  <si>
    <t>ID Penyewa</t>
  </si>
  <si>
    <t>ID Order</t>
  </si>
  <si>
    <t xml:space="preserve">Yoni </t>
  </si>
  <si>
    <t>Haji Udin</t>
  </si>
  <si>
    <t>P0045</t>
  </si>
  <si>
    <t>ID Unit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</si>
  <si>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</si>
  <si>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</si>
  <si>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</si>
  <si>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</si>
  <si>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</si>
  <si>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</si>
  <si>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</si>
  <si>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</si>
  <si>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</si>
  <si>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</si>
  <si>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</si>
  <si>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</si>
  <si>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</si>
  <si>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</si>
  <si>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Zenix Q</t>
  </si>
  <si>
    <t>Big Bus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</si>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</sst>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"/>
    <numFmt numFmtId="165" formatCode="_-&quot;Rp&quot;* #,##0_-;\-&quot;Rp&quot;* #,##0_-;_-&quot;Rp&quot;* &quot;-&quot;??_-;_-@"/>
    <numFmt numFmtId="166" formatCode="_-&quot;Rp&quot;* #,##0_-;\-&quot;Rp&quot;* #,##0_-;_-&quot;Rp&quot;* &quot;-&quot;_-;_-@"/>
  </numFmts>
  <fonts count="12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name val="Calibri"/>
    </font>
    <font>
      <sz val="12"/>
      <color rgb="FF000000"/>
      <name val="Times New Roman"/>
    </font>
    <font>
      <sz val="11"/>
      <color theme="1"/>
      <name val="Times New Roman"/>
    </font>
    <font>
      <sz val="12"/>
      <color rgb="FF1F1F1F"/>
      <name val="Times New Roman"/>
    </font>
    <font>
      <sz val="12"/>
      <color theme="1"/>
      <name val="Calibri"/>
    </font>
    <font>
      <sz val="11"/>
      <color theme="1"/>
      <name val="Calibri"/>
    </font>
    <font>
      <sz val="8"/>
      <name val="Calibri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A86E8"/>
        <bgColor rgb="FF4A86E8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vertical="center"/>
    </xf>
    <xf numFmtId="165" fontId="2" fillId="4" borderId="6" xfId="0" applyNumberFormat="1" applyFont="1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vertical="center"/>
    </xf>
    <xf numFmtId="165" fontId="4" fillId="3" borderId="11" xfId="0" applyNumberFormat="1" applyFont="1" applyFill="1" applyBorder="1" applyAlignment="1">
      <alignment horizontal="center" vertical="center"/>
    </xf>
    <xf numFmtId="165" fontId="4" fillId="4" borderId="11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2" fillId="4" borderId="14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165" fontId="4" fillId="4" borderId="11" xfId="0" applyNumberFormat="1" applyFont="1" applyFill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6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/>
    </xf>
    <xf numFmtId="165" fontId="2" fillId="7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1" fillId="2" borderId="2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2" fillId="5" borderId="4" xfId="0" applyFont="1" applyFill="1" applyBorder="1" applyAlignment="1">
      <alignment vertical="center"/>
    </xf>
    <xf numFmtId="0" fontId="2" fillId="5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165" fontId="4" fillId="3" borderId="7" xfId="0" applyNumberFormat="1" applyFont="1" applyFill="1" applyBorder="1" applyAlignment="1">
      <alignment vertical="center"/>
    </xf>
    <xf numFmtId="165" fontId="4" fillId="4" borderId="7" xfId="0" applyNumberFormat="1" applyFont="1" applyFill="1" applyBorder="1" applyAlignment="1">
      <alignment vertical="center"/>
    </xf>
    <xf numFmtId="165" fontId="2" fillId="3" borderId="7" xfId="0" applyNumberFormat="1" applyFont="1" applyFill="1" applyBorder="1" applyAlignment="1">
      <alignment vertical="center"/>
    </xf>
    <xf numFmtId="165" fontId="2" fillId="3" borderId="12" xfId="0" applyNumberFormat="1" applyFont="1" applyFill="1" applyBorder="1" applyAlignment="1">
      <alignment vertical="center"/>
    </xf>
    <xf numFmtId="165" fontId="2" fillId="4" borderId="7" xfId="0" applyNumberFormat="1" applyFont="1" applyFill="1" applyBorder="1" applyAlignment="1">
      <alignment vertical="center"/>
    </xf>
    <xf numFmtId="165" fontId="4" fillId="3" borderId="27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3" fillId="0" borderId="10" xfId="0" applyFont="1" applyBorder="1"/>
    <xf numFmtId="0" fontId="2" fillId="5" borderId="1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 vertical="center"/>
    </xf>
    <xf numFmtId="165" fontId="2" fillId="4" borderId="12" xfId="0" applyNumberFormat="1" applyFont="1" applyFill="1" applyBorder="1" applyAlignment="1">
      <alignment horizontal="center" vertical="center"/>
    </xf>
    <xf numFmtId="165" fontId="2" fillId="4" borderId="15" xfId="0" applyNumberFormat="1" applyFont="1" applyFill="1" applyBorder="1" applyAlignment="1">
      <alignment horizontal="center" vertical="center"/>
    </xf>
    <xf numFmtId="165" fontId="2" fillId="4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vertical="center"/>
    </xf>
    <xf numFmtId="165" fontId="4" fillId="6" borderId="22" xfId="0" applyNumberFormat="1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165" fontId="4" fillId="4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5" fontId="2" fillId="3" borderId="7" xfId="0" applyNumberFormat="1" applyFont="1" applyFill="1" applyBorder="1" applyAlignment="1">
      <alignment horizontal="center" vertical="center"/>
    </xf>
    <xf numFmtId="165" fontId="4" fillId="6" borderId="16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6" fillId="5" borderId="7" xfId="0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vertical="center"/>
    </xf>
    <xf numFmtId="165" fontId="4" fillId="3" borderId="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6" fontId="2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65" fontId="4" fillId="3" borderId="15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166" fontId="4" fillId="3" borderId="7" xfId="0" applyNumberFormat="1" applyFont="1" applyFill="1" applyBorder="1" applyAlignment="1">
      <alignment horizontal="center" vertical="center"/>
    </xf>
    <xf numFmtId="166" fontId="4" fillId="4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customschemas.google.com/relationships/workbookmetadata" Target="metadata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Harga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Sheet1!$B$2:$B$629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B7-4365-B0FA-4FDEDDB054DA}"/>
            </c:ext>
          </c:extLst>
        </c:ser>
        <c:ser>
          <c:idx val="1"/>
          <c:order val="1"/>
          <c:tx>
            <c:v>Biaya Sewa Rekanan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Sheet1!$C$2:$C$629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B7-4365-B0FA-4FDEDDB054DA}"/>
            </c:ext>
          </c:extLst>
        </c:ser>
        <c:ser>
          <c:idx val="2"/>
          <c:order val="2"/>
          <c:tx>
            <c:v>Gaji Driver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Sheet1!$D$2:$D$629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3B7-4365-B0FA-4FDEDDB054DA}"/>
            </c:ext>
          </c:extLst>
        </c:ser>
        <c:ser>
          <c:idx val="3"/>
          <c:order val="3"/>
          <c:tx>
            <c:v>Biaya BBM(Rp)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Sheet1!$F$2:$F$629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3B7-4365-B0FA-4FDEDDB054DA}"/>
            </c:ext>
          </c:extLst>
        </c:ser>
        <c:ser>
          <c:idx val="4"/>
          <c:order val="4"/>
          <c:tx>
            <c:v>Biaya Toll/Parkir (Rp)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 formatCode="d\-mmm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3B7-4365-B0FA-4FDEDDB054DA}"/>
            </c:ext>
          </c:extLst>
        </c:ser>
        <c:ser>
          <c:idx val="5"/>
          <c:order val="5"/>
          <c:tx>
            <c:v>Biaya Lain- Lain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Sheet1!$H$2:$H$629</c:f>
              <c:numCache>
                <c:formatCode>m/d/yyyy</c:formatCode>
                <c:ptCount val="628"/>
                <c:pt idx="0">
                  <c:v>45903</c:v>
                </c:pt>
                <c:pt idx="1">
                  <c:v>45904</c:v>
                </c:pt>
                <c:pt idx="4">
                  <c:v>45909</c:v>
                </c:pt>
                <c:pt idx="5">
                  <c:v>45904</c:v>
                </c:pt>
                <c:pt idx="6">
                  <c:v>45904</c:v>
                </c:pt>
                <c:pt idx="8">
                  <c:v>45905</c:v>
                </c:pt>
                <c:pt idx="9">
                  <c:v>45906</c:v>
                </c:pt>
                <c:pt idx="10">
                  <c:v>45905</c:v>
                </c:pt>
                <c:pt idx="12">
                  <c:v>45905</c:v>
                </c:pt>
                <c:pt idx="14">
                  <c:v>45906</c:v>
                </c:pt>
                <c:pt idx="15">
                  <c:v>45906</c:v>
                </c:pt>
                <c:pt idx="16">
                  <c:v>45907</c:v>
                </c:pt>
                <c:pt idx="18">
                  <c:v>45907</c:v>
                </c:pt>
                <c:pt idx="19">
                  <c:v>45907</c:v>
                </c:pt>
                <c:pt idx="25">
                  <c:v>45908</c:v>
                </c:pt>
                <c:pt idx="29">
                  <c:v>45908</c:v>
                </c:pt>
                <c:pt idx="32">
                  <c:v>45909</c:v>
                </c:pt>
                <c:pt idx="35">
                  <c:v>45909</c:v>
                </c:pt>
                <c:pt idx="40">
                  <c:v>45911</c:v>
                </c:pt>
                <c:pt idx="43">
                  <c:v>45911</c:v>
                </c:pt>
                <c:pt idx="46">
                  <c:v>45911</c:v>
                </c:pt>
                <c:pt idx="51">
                  <c:v>45911</c:v>
                </c:pt>
                <c:pt idx="54">
                  <c:v>45910</c:v>
                </c:pt>
                <c:pt idx="55">
                  <c:v>45911</c:v>
                </c:pt>
                <c:pt idx="64">
                  <c:v>45912</c:v>
                </c:pt>
                <c:pt idx="68">
                  <c:v>45912</c:v>
                </c:pt>
                <c:pt idx="72">
                  <c:v>45912</c:v>
                </c:pt>
                <c:pt idx="74">
                  <c:v>45912</c:v>
                </c:pt>
                <c:pt idx="75">
                  <c:v>45912</c:v>
                </c:pt>
                <c:pt idx="79">
                  <c:v>45913</c:v>
                </c:pt>
                <c:pt idx="80">
                  <c:v>45913</c:v>
                </c:pt>
                <c:pt idx="83">
                  <c:v>45913</c:v>
                </c:pt>
                <c:pt idx="87">
                  <c:v>45913</c:v>
                </c:pt>
                <c:pt idx="91">
                  <c:v>45913</c:v>
                </c:pt>
                <c:pt idx="95">
                  <c:v>45914</c:v>
                </c:pt>
                <c:pt idx="98">
                  <c:v>45915</c:v>
                </c:pt>
                <c:pt idx="100">
                  <c:v>45915</c:v>
                </c:pt>
                <c:pt idx="102">
                  <c:v>45918</c:v>
                </c:pt>
                <c:pt idx="104">
                  <c:v>45919</c:v>
                </c:pt>
                <c:pt idx="106">
                  <c:v>45917</c:v>
                </c:pt>
                <c:pt idx="109">
                  <c:v>45916</c:v>
                </c:pt>
                <c:pt idx="112">
                  <c:v>45918</c:v>
                </c:pt>
                <c:pt idx="113">
                  <c:v>45919</c:v>
                </c:pt>
                <c:pt idx="117">
                  <c:v>45919</c:v>
                </c:pt>
                <c:pt idx="119">
                  <c:v>45920</c:v>
                </c:pt>
                <c:pt idx="121">
                  <c:v>45919</c:v>
                </c:pt>
                <c:pt idx="123">
                  <c:v>45919</c:v>
                </c:pt>
                <c:pt idx="126">
                  <c:v>45919</c:v>
                </c:pt>
                <c:pt idx="129">
                  <c:v>45920</c:v>
                </c:pt>
                <c:pt idx="130">
                  <c:v>45921</c:v>
                </c:pt>
                <c:pt idx="133">
                  <c:v>45921</c:v>
                </c:pt>
                <c:pt idx="135">
                  <c:v>45921</c:v>
                </c:pt>
                <c:pt idx="136">
                  <c:v>45921</c:v>
                </c:pt>
                <c:pt idx="137">
                  <c:v>45923</c:v>
                </c:pt>
                <c:pt idx="139">
                  <c:v>45922</c:v>
                </c:pt>
                <c:pt idx="141">
                  <c:v>45923</c:v>
                </c:pt>
                <c:pt idx="145">
                  <c:v>45923</c:v>
                </c:pt>
                <c:pt idx="146">
                  <c:v>45924</c:v>
                </c:pt>
                <c:pt idx="147">
                  <c:v>45924</c:v>
                </c:pt>
                <c:pt idx="148">
                  <c:v>45925</c:v>
                </c:pt>
                <c:pt idx="150">
                  <c:v>45925</c:v>
                </c:pt>
                <c:pt idx="151">
                  <c:v>45925</c:v>
                </c:pt>
                <c:pt idx="156">
                  <c:v>45924</c:v>
                </c:pt>
                <c:pt idx="157">
                  <c:v>45926</c:v>
                </c:pt>
                <c:pt idx="161">
                  <c:v>45925</c:v>
                </c:pt>
                <c:pt idx="162">
                  <c:v>45928</c:v>
                </c:pt>
                <c:pt idx="163">
                  <c:v>45927</c:v>
                </c:pt>
                <c:pt idx="165">
                  <c:v>45927</c:v>
                </c:pt>
                <c:pt idx="167">
                  <c:v>45930</c:v>
                </c:pt>
                <c:pt idx="168">
                  <c:v>45928</c:v>
                </c:pt>
                <c:pt idx="173">
                  <c:v>45929</c:v>
                </c:pt>
                <c:pt idx="177">
                  <c:v>45931</c:v>
                </c:pt>
                <c:pt idx="180">
                  <c:v>45931</c:v>
                </c:pt>
                <c:pt idx="183">
                  <c:v>45931</c:v>
                </c:pt>
                <c:pt idx="184">
                  <c:v>45958</c:v>
                </c:pt>
                <c:pt idx="190">
                  <c:v>45931</c:v>
                </c:pt>
                <c:pt idx="191">
                  <c:v>45932</c:v>
                </c:pt>
                <c:pt idx="192">
                  <c:v>45932</c:v>
                </c:pt>
                <c:pt idx="194">
                  <c:v>45932</c:v>
                </c:pt>
                <c:pt idx="198">
                  <c:v>45933</c:v>
                </c:pt>
                <c:pt idx="206">
                  <c:v>45933</c:v>
                </c:pt>
                <c:pt idx="208">
                  <c:v>45934</c:v>
                </c:pt>
                <c:pt idx="209">
                  <c:v>45935</c:v>
                </c:pt>
                <c:pt idx="212">
                  <c:v>45935</c:v>
                </c:pt>
                <c:pt idx="213">
                  <c:v>45936</c:v>
                </c:pt>
                <c:pt idx="214">
                  <c:v>45935</c:v>
                </c:pt>
                <c:pt idx="218">
                  <c:v>45936</c:v>
                </c:pt>
                <c:pt idx="219">
                  <c:v>45936</c:v>
                </c:pt>
                <c:pt idx="220">
                  <c:v>45937</c:v>
                </c:pt>
                <c:pt idx="222">
                  <c:v>45938</c:v>
                </c:pt>
                <c:pt idx="224">
                  <c:v>45938</c:v>
                </c:pt>
                <c:pt idx="226">
                  <c:v>45938</c:v>
                </c:pt>
                <c:pt idx="228">
                  <c:v>45938</c:v>
                </c:pt>
                <c:pt idx="230">
                  <c:v>45938</c:v>
                </c:pt>
                <c:pt idx="232">
                  <c:v>45938</c:v>
                </c:pt>
                <c:pt idx="234">
                  <c:v>45938</c:v>
                </c:pt>
                <c:pt idx="236">
                  <c:v>45938</c:v>
                </c:pt>
                <c:pt idx="238">
                  <c:v>45938</c:v>
                </c:pt>
                <c:pt idx="240">
                  <c:v>45938</c:v>
                </c:pt>
                <c:pt idx="242">
                  <c:v>45938</c:v>
                </c:pt>
                <c:pt idx="244">
                  <c:v>45938</c:v>
                </c:pt>
                <c:pt idx="246">
                  <c:v>45938</c:v>
                </c:pt>
                <c:pt idx="248">
                  <c:v>45938</c:v>
                </c:pt>
                <c:pt idx="250">
                  <c:v>45938</c:v>
                </c:pt>
                <c:pt idx="252">
                  <c:v>45940</c:v>
                </c:pt>
                <c:pt idx="257">
                  <c:v>45938</c:v>
                </c:pt>
                <c:pt idx="258">
                  <c:v>45937</c:v>
                </c:pt>
                <c:pt idx="260">
                  <c:v>45939</c:v>
                </c:pt>
                <c:pt idx="263">
                  <c:v>45939</c:v>
                </c:pt>
                <c:pt idx="266">
                  <c:v>45939</c:v>
                </c:pt>
                <c:pt idx="268">
                  <c:v>45939</c:v>
                </c:pt>
                <c:pt idx="269">
                  <c:v>45940</c:v>
                </c:pt>
                <c:pt idx="272">
                  <c:v>45940</c:v>
                </c:pt>
                <c:pt idx="273">
                  <c:v>45940</c:v>
                </c:pt>
                <c:pt idx="277">
                  <c:v>45940</c:v>
                </c:pt>
                <c:pt idx="279">
                  <c:v>45940</c:v>
                </c:pt>
                <c:pt idx="281">
                  <c:v>45940</c:v>
                </c:pt>
                <c:pt idx="283">
                  <c:v>45940</c:v>
                </c:pt>
                <c:pt idx="284">
                  <c:v>45940</c:v>
                </c:pt>
                <c:pt idx="286">
                  <c:v>45940</c:v>
                </c:pt>
                <c:pt idx="288">
                  <c:v>45944</c:v>
                </c:pt>
                <c:pt idx="289">
                  <c:v>45944</c:v>
                </c:pt>
                <c:pt idx="290">
                  <c:v>45944</c:v>
                </c:pt>
                <c:pt idx="292">
                  <c:v>45944</c:v>
                </c:pt>
                <c:pt idx="293">
                  <c:v>45942</c:v>
                </c:pt>
                <c:pt idx="294">
                  <c:v>45942</c:v>
                </c:pt>
                <c:pt idx="295">
                  <c:v>45945</c:v>
                </c:pt>
                <c:pt idx="299">
                  <c:v>45945</c:v>
                </c:pt>
                <c:pt idx="300">
                  <c:v>45946</c:v>
                </c:pt>
                <c:pt idx="303">
                  <c:v>45946</c:v>
                </c:pt>
                <c:pt idx="306">
                  <c:v>45946</c:v>
                </c:pt>
                <c:pt idx="309">
                  <c:v>45946</c:v>
                </c:pt>
                <c:pt idx="311">
                  <c:v>45947</c:v>
                </c:pt>
                <c:pt idx="313">
                  <c:v>45947</c:v>
                </c:pt>
                <c:pt idx="314">
                  <c:v>45949</c:v>
                </c:pt>
                <c:pt idx="317">
                  <c:v>45949</c:v>
                </c:pt>
                <c:pt idx="319">
                  <c:v>45950</c:v>
                </c:pt>
                <c:pt idx="321">
                  <c:v>45950</c:v>
                </c:pt>
                <c:pt idx="327">
                  <c:v>45949</c:v>
                </c:pt>
                <c:pt idx="328">
                  <c:v>45951</c:v>
                </c:pt>
                <c:pt idx="329">
                  <c:v>45952</c:v>
                </c:pt>
                <c:pt idx="330">
                  <c:v>45954</c:v>
                </c:pt>
                <c:pt idx="331">
                  <c:v>45954</c:v>
                </c:pt>
                <c:pt idx="332">
                  <c:v>45954</c:v>
                </c:pt>
                <c:pt idx="333">
                  <c:v>45952</c:v>
                </c:pt>
                <c:pt idx="334">
                  <c:v>45952</c:v>
                </c:pt>
                <c:pt idx="335">
                  <c:v>45952</c:v>
                </c:pt>
                <c:pt idx="336">
                  <c:v>45953</c:v>
                </c:pt>
                <c:pt idx="338">
                  <c:v>45953</c:v>
                </c:pt>
                <c:pt idx="340">
                  <c:v>45953</c:v>
                </c:pt>
                <c:pt idx="342">
                  <c:v>45953</c:v>
                </c:pt>
                <c:pt idx="344">
                  <c:v>45953</c:v>
                </c:pt>
                <c:pt idx="345">
                  <c:v>45953</c:v>
                </c:pt>
                <c:pt idx="346">
                  <c:v>45953</c:v>
                </c:pt>
                <c:pt idx="347">
                  <c:v>45954</c:v>
                </c:pt>
                <c:pt idx="348">
                  <c:v>45954</c:v>
                </c:pt>
                <c:pt idx="349">
                  <c:v>45955</c:v>
                </c:pt>
                <c:pt idx="350">
                  <c:v>45955</c:v>
                </c:pt>
                <c:pt idx="351">
                  <c:v>45955</c:v>
                </c:pt>
                <c:pt idx="352">
                  <c:v>45956</c:v>
                </c:pt>
                <c:pt idx="353">
                  <c:v>45958</c:v>
                </c:pt>
                <c:pt idx="354">
                  <c:v>45958</c:v>
                </c:pt>
                <c:pt idx="355">
                  <c:v>45958</c:v>
                </c:pt>
                <c:pt idx="356">
                  <c:v>45959</c:v>
                </c:pt>
                <c:pt idx="358">
                  <c:v>45957</c:v>
                </c:pt>
                <c:pt idx="359">
                  <c:v>45958</c:v>
                </c:pt>
                <c:pt idx="360">
                  <c:v>45959</c:v>
                </c:pt>
                <c:pt idx="362">
                  <c:v>45960</c:v>
                </c:pt>
                <c:pt idx="365">
                  <c:v>45960</c:v>
                </c:pt>
                <c:pt idx="368">
                  <c:v>45960</c:v>
                </c:pt>
                <c:pt idx="371">
                  <c:v>45960</c:v>
                </c:pt>
                <c:pt idx="375">
                  <c:v>45961</c:v>
                </c:pt>
                <c:pt idx="376">
                  <c:v>45961</c:v>
                </c:pt>
                <c:pt idx="378">
                  <c:v>45960</c:v>
                </c:pt>
                <c:pt idx="379">
                  <c:v>45961</c:v>
                </c:pt>
                <c:pt idx="380">
                  <c:v>45870</c:v>
                </c:pt>
                <c:pt idx="382">
                  <c:v>45870</c:v>
                </c:pt>
                <c:pt idx="384">
                  <c:v>45870</c:v>
                </c:pt>
                <c:pt idx="386">
                  <c:v>45870</c:v>
                </c:pt>
                <c:pt idx="387">
                  <c:v>45870</c:v>
                </c:pt>
                <c:pt idx="388">
                  <c:v>45870</c:v>
                </c:pt>
                <c:pt idx="389">
                  <c:v>45870</c:v>
                </c:pt>
                <c:pt idx="395">
                  <c:v>45870</c:v>
                </c:pt>
                <c:pt idx="398">
                  <c:v>45871</c:v>
                </c:pt>
                <c:pt idx="402">
                  <c:v>45871</c:v>
                </c:pt>
                <c:pt idx="403">
                  <c:v>45871</c:v>
                </c:pt>
                <c:pt idx="404">
                  <c:v>45873</c:v>
                </c:pt>
                <c:pt idx="406">
                  <c:v>45873</c:v>
                </c:pt>
                <c:pt idx="408">
                  <c:v>45874</c:v>
                </c:pt>
                <c:pt idx="411">
                  <c:v>45874</c:v>
                </c:pt>
                <c:pt idx="412">
                  <c:v>45874</c:v>
                </c:pt>
                <c:pt idx="415">
                  <c:v>45875</c:v>
                </c:pt>
                <c:pt idx="417">
                  <c:v>45875</c:v>
                </c:pt>
                <c:pt idx="419">
                  <c:v>45874</c:v>
                </c:pt>
                <c:pt idx="420">
                  <c:v>45875</c:v>
                </c:pt>
                <c:pt idx="421">
                  <c:v>45874</c:v>
                </c:pt>
                <c:pt idx="422">
                  <c:v>45876</c:v>
                </c:pt>
                <c:pt idx="423">
                  <c:v>45876</c:v>
                </c:pt>
                <c:pt idx="424">
                  <c:v>45877</c:v>
                </c:pt>
                <c:pt idx="425">
                  <c:v>45877</c:v>
                </c:pt>
                <c:pt idx="426">
                  <c:v>45877</c:v>
                </c:pt>
                <c:pt idx="427">
                  <c:v>45877</c:v>
                </c:pt>
                <c:pt idx="428">
                  <c:v>45876</c:v>
                </c:pt>
                <c:pt idx="433">
                  <c:v>45877</c:v>
                </c:pt>
                <c:pt idx="438">
                  <c:v>45882</c:v>
                </c:pt>
                <c:pt idx="443">
                  <c:v>45876</c:v>
                </c:pt>
                <c:pt idx="449">
                  <c:v>45879</c:v>
                </c:pt>
                <c:pt idx="451">
                  <c:v>45880</c:v>
                </c:pt>
                <c:pt idx="453">
                  <c:v>45882</c:v>
                </c:pt>
                <c:pt idx="456">
                  <c:v>45880</c:v>
                </c:pt>
                <c:pt idx="463">
                  <c:v>45880</c:v>
                </c:pt>
                <c:pt idx="464">
                  <c:v>45880</c:v>
                </c:pt>
                <c:pt idx="466">
                  <c:v>45881</c:v>
                </c:pt>
                <c:pt idx="467">
                  <c:v>45882</c:v>
                </c:pt>
                <c:pt idx="470">
                  <c:v>45881</c:v>
                </c:pt>
                <c:pt idx="472">
                  <c:v>45881</c:v>
                </c:pt>
                <c:pt idx="473">
                  <c:v>45882</c:v>
                </c:pt>
                <c:pt idx="474">
                  <c:v>45883</c:v>
                </c:pt>
                <c:pt idx="475">
                  <c:v>45882</c:v>
                </c:pt>
                <c:pt idx="478">
                  <c:v>45882</c:v>
                </c:pt>
                <c:pt idx="480">
                  <c:v>45882</c:v>
                </c:pt>
                <c:pt idx="481">
                  <c:v>45882</c:v>
                </c:pt>
                <c:pt idx="482">
                  <c:v>45882</c:v>
                </c:pt>
                <c:pt idx="483">
                  <c:v>45882</c:v>
                </c:pt>
                <c:pt idx="488">
                  <c:v>45883</c:v>
                </c:pt>
                <c:pt idx="490">
                  <c:v>45883</c:v>
                </c:pt>
                <c:pt idx="494">
                  <c:v>45884</c:v>
                </c:pt>
                <c:pt idx="495">
                  <c:v>45884</c:v>
                </c:pt>
                <c:pt idx="496">
                  <c:v>45884</c:v>
                </c:pt>
                <c:pt idx="497">
                  <c:v>45884</c:v>
                </c:pt>
                <c:pt idx="498">
                  <c:v>45885</c:v>
                </c:pt>
                <c:pt idx="502">
                  <c:v>45885</c:v>
                </c:pt>
                <c:pt idx="505">
                  <c:v>45885</c:v>
                </c:pt>
                <c:pt idx="507">
                  <c:v>45886</c:v>
                </c:pt>
                <c:pt idx="508">
                  <c:v>45886</c:v>
                </c:pt>
                <c:pt idx="509">
                  <c:v>45887</c:v>
                </c:pt>
                <c:pt idx="510">
                  <c:v>45887</c:v>
                </c:pt>
                <c:pt idx="511">
                  <c:v>45887</c:v>
                </c:pt>
                <c:pt idx="512">
                  <c:v>45887</c:v>
                </c:pt>
                <c:pt idx="513">
                  <c:v>45887</c:v>
                </c:pt>
                <c:pt idx="514">
                  <c:v>45888</c:v>
                </c:pt>
                <c:pt idx="518">
                  <c:v>45892</c:v>
                </c:pt>
                <c:pt idx="519">
                  <c:v>45888</c:v>
                </c:pt>
                <c:pt idx="521">
                  <c:v>45888</c:v>
                </c:pt>
                <c:pt idx="523">
                  <c:v>45888</c:v>
                </c:pt>
                <c:pt idx="525">
                  <c:v>45889</c:v>
                </c:pt>
                <c:pt idx="526">
                  <c:v>45888</c:v>
                </c:pt>
                <c:pt idx="528">
                  <c:v>45888</c:v>
                </c:pt>
                <c:pt idx="529">
                  <c:v>45888</c:v>
                </c:pt>
                <c:pt idx="530">
                  <c:v>45888</c:v>
                </c:pt>
                <c:pt idx="531">
                  <c:v>45888</c:v>
                </c:pt>
                <c:pt idx="532">
                  <c:v>45888</c:v>
                </c:pt>
                <c:pt idx="533">
                  <c:v>45888</c:v>
                </c:pt>
                <c:pt idx="534">
                  <c:v>45888</c:v>
                </c:pt>
                <c:pt idx="538">
                  <c:v>45889</c:v>
                </c:pt>
                <c:pt idx="541">
                  <c:v>45889</c:v>
                </c:pt>
                <c:pt idx="542">
                  <c:v>45889</c:v>
                </c:pt>
                <c:pt idx="543">
                  <c:v>45889</c:v>
                </c:pt>
                <c:pt idx="544">
                  <c:v>45889</c:v>
                </c:pt>
                <c:pt idx="545">
                  <c:v>45890</c:v>
                </c:pt>
                <c:pt idx="547">
                  <c:v>45890</c:v>
                </c:pt>
                <c:pt idx="549">
                  <c:v>45890</c:v>
                </c:pt>
                <c:pt idx="551">
                  <c:v>45890</c:v>
                </c:pt>
                <c:pt idx="553">
                  <c:v>45890</c:v>
                </c:pt>
                <c:pt idx="555">
                  <c:v>45890</c:v>
                </c:pt>
                <c:pt idx="557">
                  <c:v>45890</c:v>
                </c:pt>
                <c:pt idx="559">
                  <c:v>45890</c:v>
                </c:pt>
                <c:pt idx="560">
                  <c:v>45890</c:v>
                </c:pt>
                <c:pt idx="561">
                  <c:v>45890</c:v>
                </c:pt>
                <c:pt idx="562">
                  <c:v>45890</c:v>
                </c:pt>
                <c:pt idx="563">
                  <c:v>45890</c:v>
                </c:pt>
                <c:pt idx="564">
                  <c:v>45890</c:v>
                </c:pt>
                <c:pt idx="565">
                  <c:v>45888</c:v>
                </c:pt>
                <c:pt idx="568">
                  <c:v>45890</c:v>
                </c:pt>
                <c:pt idx="569">
                  <c:v>45890</c:v>
                </c:pt>
                <c:pt idx="570">
                  <c:v>45891</c:v>
                </c:pt>
                <c:pt idx="572">
                  <c:v>45891</c:v>
                </c:pt>
                <c:pt idx="573">
                  <c:v>45891</c:v>
                </c:pt>
                <c:pt idx="574">
                  <c:v>45891</c:v>
                </c:pt>
                <c:pt idx="578">
                  <c:v>45892</c:v>
                </c:pt>
                <c:pt idx="579">
                  <c:v>45892</c:v>
                </c:pt>
                <c:pt idx="582">
                  <c:v>45893</c:v>
                </c:pt>
                <c:pt idx="583">
                  <c:v>45893</c:v>
                </c:pt>
                <c:pt idx="585">
                  <c:v>45894</c:v>
                </c:pt>
                <c:pt idx="586">
                  <c:v>45894</c:v>
                </c:pt>
                <c:pt idx="591">
                  <c:v>45894</c:v>
                </c:pt>
                <c:pt idx="592">
                  <c:v>45894</c:v>
                </c:pt>
                <c:pt idx="594">
                  <c:v>45895</c:v>
                </c:pt>
                <c:pt idx="595">
                  <c:v>45895</c:v>
                </c:pt>
                <c:pt idx="599">
                  <c:v>45896</c:v>
                </c:pt>
                <c:pt idx="603">
                  <c:v>45896</c:v>
                </c:pt>
                <c:pt idx="607">
                  <c:v>45896</c:v>
                </c:pt>
                <c:pt idx="611">
                  <c:v>45896</c:v>
                </c:pt>
                <c:pt idx="615">
                  <c:v>45896</c:v>
                </c:pt>
                <c:pt idx="617">
                  <c:v>45895</c:v>
                </c:pt>
                <c:pt idx="619">
                  <c:v>45896</c:v>
                </c:pt>
                <c:pt idx="620">
                  <c:v>45896</c:v>
                </c:pt>
                <c:pt idx="621">
                  <c:v>45896</c:v>
                </c:pt>
                <c:pt idx="622">
                  <c:v>45898</c:v>
                </c:pt>
                <c:pt idx="623">
                  <c:v>45898</c:v>
                </c:pt>
                <c:pt idx="624">
                  <c:v>45898</c:v>
                </c:pt>
                <c:pt idx="625">
                  <c:v>45899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3B7-4365-B0FA-4FDEDDB054DA}"/>
            </c:ext>
          </c:extLst>
        </c:ser>
        <c:ser>
          <c:idx val="6"/>
          <c:order val="6"/>
          <c:tx>
            <c:v>Ket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Sheet1!$I$2:$I$629</c:f>
              <c:numCache>
                <c:formatCode>m/d/yyyy</c:formatCode>
                <c:ptCount val="628"/>
                <c:pt idx="0">
                  <c:v>45903</c:v>
                </c:pt>
                <c:pt idx="1">
                  <c:v>45906</c:v>
                </c:pt>
                <c:pt idx="4">
                  <c:v>45909</c:v>
                </c:pt>
                <c:pt idx="5">
                  <c:v>45905</c:v>
                </c:pt>
                <c:pt idx="6">
                  <c:v>45905</c:v>
                </c:pt>
                <c:pt idx="8">
                  <c:v>45905</c:v>
                </c:pt>
                <c:pt idx="9">
                  <c:v>45906</c:v>
                </c:pt>
                <c:pt idx="10">
                  <c:v>45906</c:v>
                </c:pt>
                <c:pt idx="12">
                  <c:v>45906</c:v>
                </c:pt>
                <c:pt idx="14">
                  <c:v>45906</c:v>
                </c:pt>
                <c:pt idx="15">
                  <c:v>45906</c:v>
                </c:pt>
                <c:pt idx="16">
                  <c:v>45908</c:v>
                </c:pt>
                <c:pt idx="18">
                  <c:v>45907</c:v>
                </c:pt>
                <c:pt idx="19">
                  <c:v>45912</c:v>
                </c:pt>
                <c:pt idx="25">
                  <c:v>45910</c:v>
                </c:pt>
                <c:pt idx="29">
                  <c:v>45910</c:v>
                </c:pt>
                <c:pt idx="32">
                  <c:v>45911</c:v>
                </c:pt>
                <c:pt idx="35">
                  <c:v>45913</c:v>
                </c:pt>
                <c:pt idx="40">
                  <c:v>45913</c:v>
                </c:pt>
                <c:pt idx="43">
                  <c:v>45913</c:v>
                </c:pt>
                <c:pt idx="46">
                  <c:v>45915</c:v>
                </c:pt>
                <c:pt idx="51">
                  <c:v>45913</c:v>
                </c:pt>
                <c:pt idx="54">
                  <c:v>45910</c:v>
                </c:pt>
                <c:pt idx="55">
                  <c:v>45919</c:v>
                </c:pt>
                <c:pt idx="64">
                  <c:v>45916</c:v>
                </c:pt>
                <c:pt idx="68">
                  <c:v>45915</c:v>
                </c:pt>
                <c:pt idx="72">
                  <c:v>45913</c:v>
                </c:pt>
                <c:pt idx="74">
                  <c:v>45912</c:v>
                </c:pt>
                <c:pt idx="75">
                  <c:v>45915</c:v>
                </c:pt>
                <c:pt idx="79">
                  <c:v>45913</c:v>
                </c:pt>
                <c:pt idx="80">
                  <c:v>45915</c:v>
                </c:pt>
                <c:pt idx="83">
                  <c:v>45916</c:v>
                </c:pt>
                <c:pt idx="87">
                  <c:v>45916</c:v>
                </c:pt>
                <c:pt idx="91">
                  <c:v>45916</c:v>
                </c:pt>
                <c:pt idx="95">
                  <c:v>45916</c:v>
                </c:pt>
                <c:pt idx="98">
                  <c:v>45916</c:v>
                </c:pt>
                <c:pt idx="100">
                  <c:v>45916</c:v>
                </c:pt>
                <c:pt idx="102">
                  <c:v>45919</c:v>
                </c:pt>
                <c:pt idx="104">
                  <c:v>45920</c:v>
                </c:pt>
                <c:pt idx="106">
                  <c:v>45919</c:v>
                </c:pt>
                <c:pt idx="109">
                  <c:v>45918</c:v>
                </c:pt>
                <c:pt idx="112">
                  <c:v>45918</c:v>
                </c:pt>
                <c:pt idx="113">
                  <c:v>45922</c:v>
                </c:pt>
                <c:pt idx="117">
                  <c:v>45920</c:v>
                </c:pt>
                <c:pt idx="119">
                  <c:v>45921</c:v>
                </c:pt>
                <c:pt idx="121">
                  <c:v>45920</c:v>
                </c:pt>
                <c:pt idx="123">
                  <c:v>45921</c:v>
                </c:pt>
                <c:pt idx="126">
                  <c:v>45921</c:v>
                </c:pt>
                <c:pt idx="129">
                  <c:v>45920</c:v>
                </c:pt>
                <c:pt idx="130">
                  <c:v>45923</c:v>
                </c:pt>
                <c:pt idx="133">
                  <c:v>45922</c:v>
                </c:pt>
                <c:pt idx="135">
                  <c:v>45921</c:v>
                </c:pt>
                <c:pt idx="136">
                  <c:v>45921</c:v>
                </c:pt>
                <c:pt idx="137">
                  <c:v>45924</c:v>
                </c:pt>
                <c:pt idx="139">
                  <c:v>45923</c:v>
                </c:pt>
                <c:pt idx="141">
                  <c:v>45926</c:v>
                </c:pt>
                <c:pt idx="145">
                  <c:v>45923</c:v>
                </c:pt>
                <c:pt idx="146">
                  <c:v>45923</c:v>
                </c:pt>
                <c:pt idx="147">
                  <c:v>45924</c:v>
                </c:pt>
                <c:pt idx="148">
                  <c:v>45926</c:v>
                </c:pt>
                <c:pt idx="150">
                  <c:v>45925</c:v>
                </c:pt>
                <c:pt idx="151">
                  <c:v>45927</c:v>
                </c:pt>
                <c:pt idx="156">
                  <c:v>45924</c:v>
                </c:pt>
                <c:pt idx="157">
                  <c:v>45929</c:v>
                </c:pt>
                <c:pt idx="161">
                  <c:v>45925</c:v>
                </c:pt>
                <c:pt idx="162">
                  <c:v>45928</c:v>
                </c:pt>
                <c:pt idx="163">
                  <c:v>45928</c:v>
                </c:pt>
                <c:pt idx="165">
                  <c:v>45928</c:v>
                </c:pt>
                <c:pt idx="167">
                  <c:v>45930</c:v>
                </c:pt>
                <c:pt idx="168">
                  <c:v>45932</c:v>
                </c:pt>
                <c:pt idx="173">
                  <c:v>45932</c:v>
                </c:pt>
                <c:pt idx="177">
                  <c:v>45933</c:v>
                </c:pt>
                <c:pt idx="180">
                  <c:v>45933</c:v>
                </c:pt>
                <c:pt idx="183">
                  <c:v>45931</c:v>
                </c:pt>
                <c:pt idx="184">
                  <c:v>45963</c:v>
                </c:pt>
                <c:pt idx="190">
                  <c:v>45931</c:v>
                </c:pt>
                <c:pt idx="191">
                  <c:v>45932</c:v>
                </c:pt>
                <c:pt idx="192">
                  <c:v>45933</c:v>
                </c:pt>
                <c:pt idx="194">
                  <c:v>45935</c:v>
                </c:pt>
                <c:pt idx="198">
                  <c:v>45934</c:v>
                </c:pt>
                <c:pt idx="206">
                  <c:v>45934</c:v>
                </c:pt>
                <c:pt idx="208">
                  <c:v>45934</c:v>
                </c:pt>
                <c:pt idx="209">
                  <c:v>45937</c:v>
                </c:pt>
                <c:pt idx="212">
                  <c:v>45935</c:v>
                </c:pt>
                <c:pt idx="213">
                  <c:v>45936</c:v>
                </c:pt>
                <c:pt idx="214">
                  <c:v>45936</c:v>
                </c:pt>
                <c:pt idx="218">
                  <c:v>45936</c:v>
                </c:pt>
                <c:pt idx="219">
                  <c:v>45936</c:v>
                </c:pt>
                <c:pt idx="220">
                  <c:v>45938</c:v>
                </c:pt>
                <c:pt idx="222">
                  <c:v>45939</c:v>
                </c:pt>
                <c:pt idx="224">
                  <c:v>45939</c:v>
                </c:pt>
                <c:pt idx="226">
                  <c:v>45939</c:v>
                </c:pt>
                <c:pt idx="228">
                  <c:v>45939</c:v>
                </c:pt>
                <c:pt idx="230">
                  <c:v>45939</c:v>
                </c:pt>
                <c:pt idx="232">
                  <c:v>45939</c:v>
                </c:pt>
                <c:pt idx="234">
                  <c:v>45939</c:v>
                </c:pt>
                <c:pt idx="236">
                  <c:v>45939</c:v>
                </c:pt>
                <c:pt idx="238">
                  <c:v>45939</c:v>
                </c:pt>
                <c:pt idx="240">
                  <c:v>45939</c:v>
                </c:pt>
                <c:pt idx="242">
                  <c:v>45939</c:v>
                </c:pt>
                <c:pt idx="244">
                  <c:v>45939</c:v>
                </c:pt>
                <c:pt idx="246">
                  <c:v>45939</c:v>
                </c:pt>
                <c:pt idx="248">
                  <c:v>45939</c:v>
                </c:pt>
                <c:pt idx="250">
                  <c:v>45939</c:v>
                </c:pt>
                <c:pt idx="252">
                  <c:v>45940</c:v>
                </c:pt>
                <c:pt idx="257">
                  <c:v>45938</c:v>
                </c:pt>
                <c:pt idx="258">
                  <c:v>45938</c:v>
                </c:pt>
                <c:pt idx="260">
                  <c:v>45941</c:v>
                </c:pt>
                <c:pt idx="263">
                  <c:v>45941</c:v>
                </c:pt>
                <c:pt idx="266">
                  <c:v>45939</c:v>
                </c:pt>
                <c:pt idx="268">
                  <c:v>45939</c:v>
                </c:pt>
                <c:pt idx="269">
                  <c:v>45942</c:v>
                </c:pt>
                <c:pt idx="272">
                  <c:v>45940</c:v>
                </c:pt>
                <c:pt idx="273">
                  <c:v>45943</c:v>
                </c:pt>
                <c:pt idx="277">
                  <c:v>45941</c:v>
                </c:pt>
                <c:pt idx="279">
                  <c:v>45941</c:v>
                </c:pt>
                <c:pt idx="281">
                  <c:v>45941</c:v>
                </c:pt>
                <c:pt idx="283">
                  <c:v>45940</c:v>
                </c:pt>
                <c:pt idx="284">
                  <c:v>45941</c:v>
                </c:pt>
                <c:pt idx="286">
                  <c:v>45941</c:v>
                </c:pt>
                <c:pt idx="288">
                  <c:v>45944</c:v>
                </c:pt>
                <c:pt idx="289">
                  <c:v>45944</c:v>
                </c:pt>
                <c:pt idx="290">
                  <c:v>45945</c:v>
                </c:pt>
                <c:pt idx="292">
                  <c:v>45944</c:v>
                </c:pt>
                <c:pt idx="293">
                  <c:v>45942</c:v>
                </c:pt>
                <c:pt idx="294">
                  <c:v>45942</c:v>
                </c:pt>
                <c:pt idx="295">
                  <c:v>45948</c:v>
                </c:pt>
                <c:pt idx="299">
                  <c:v>45945</c:v>
                </c:pt>
                <c:pt idx="300">
                  <c:v>45948</c:v>
                </c:pt>
                <c:pt idx="303">
                  <c:v>45948</c:v>
                </c:pt>
                <c:pt idx="306">
                  <c:v>45948</c:v>
                </c:pt>
                <c:pt idx="309">
                  <c:v>45947</c:v>
                </c:pt>
                <c:pt idx="311">
                  <c:v>45948</c:v>
                </c:pt>
                <c:pt idx="313">
                  <c:v>45947</c:v>
                </c:pt>
                <c:pt idx="314">
                  <c:v>45951</c:v>
                </c:pt>
                <c:pt idx="317">
                  <c:v>45950</c:v>
                </c:pt>
                <c:pt idx="319">
                  <c:v>45951</c:v>
                </c:pt>
                <c:pt idx="321">
                  <c:v>45956</c:v>
                </c:pt>
                <c:pt idx="327">
                  <c:v>45949</c:v>
                </c:pt>
                <c:pt idx="328">
                  <c:v>45951</c:v>
                </c:pt>
                <c:pt idx="329">
                  <c:v>45952</c:v>
                </c:pt>
                <c:pt idx="330">
                  <c:v>45954</c:v>
                </c:pt>
                <c:pt idx="331">
                  <c:v>45954</c:v>
                </c:pt>
                <c:pt idx="332">
                  <c:v>45954</c:v>
                </c:pt>
                <c:pt idx="333">
                  <c:v>45952</c:v>
                </c:pt>
                <c:pt idx="334">
                  <c:v>45952</c:v>
                </c:pt>
                <c:pt idx="335">
                  <c:v>45952</c:v>
                </c:pt>
                <c:pt idx="336">
                  <c:v>45954</c:v>
                </c:pt>
                <c:pt idx="338">
                  <c:v>45954</c:v>
                </c:pt>
                <c:pt idx="340">
                  <c:v>45954</c:v>
                </c:pt>
                <c:pt idx="342">
                  <c:v>45954</c:v>
                </c:pt>
                <c:pt idx="344">
                  <c:v>45953</c:v>
                </c:pt>
                <c:pt idx="345">
                  <c:v>45953</c:v>
                </c:pt>
                <c:pt idx="346">
                  <c:v>45953</c:v>
                </c:pt>
                <c:pt idx="347">
                  <c:v>45954</c:v>
                </c:pt>
                <c:pt idx="348">
                  <c:v>45954</c:v>
                </c:pt>
                <c:pt idx="349">
                  <c:v>45955</c:v>
                </c:pt>
                <c:pt idx="350">
                  <c:v>45955</c:v>
                </c:pt>
                <c:pt idx="351">
                  <c:v>45955</c:v>
                </c:pt>
                <c:pt idx="352">
                  <c:v>45956</c:v>
                </c:pt>
                <c:pt idx="353">
                  <c:v>45958</c:v>
                </c:pt>
                <c:pt idx="354">
                  <c:v>45958</c:v>
                </c:pt>
                <c:pt idx="355">
                  <c:v>45958</c:v>
                </c:pt>
                <c:pt idx="356">
                  <c:v>45960</c:v>
                </c:pt>
                <c:pt idx="358">
                  <c:v>45957</c:v>
                </c:pt>
                <c:pt idx="359">
                  <c:v>45958</c:v>
                </c:pt>
                <c:pt idx="360">
                  <c:v>45960</c:v>
                </c:pt>
                <c:pt idx="362">
                  <c:v>45962</c:v>
                </c:pt>
                <c:pt idx="365">
                  <c:v>45962</c:v>
                </c:pt>
                <c:pt idx="368">
                  <c:v>45962</c:v>
                </c:pt>
                <c:pt idx="371">
                  <c:v>45963</c:v>
                </c:pt>
                <c:pt idx="375">
                  <c:v>45961</c:v>
                </c:pt>
                <c:pt idx="376">
                  <c:v>45962</c:v>
                </c:pt>
                <c:pt idx="378">
                  <c:v>45960</c:v>
                </c:pt>
                <c:pt idx="379">
                  <c:v>45961</c:v>
                </c:pt>
                <c:pt idx="380">
                  <c:v>45871</c:v>
                </c:pt>
                <c:pt idx="382">
                  <c:v>45871</c:v>
                </c:pt>
                <c:pt idx="384">
                  <c:v>45871</c:v>
                </c:pt>
                <c:pt idx="386">
                  <c:v>45870</c:v>
                </c:pt>
                <c:pt idx="387">
                  <c:v>45870</c:v>
                </c:pt>
                <c:pt idx="388">
                  <c:v>45870</c:v>
                </c:pt>
                <c:pt idx="389">
                  <c:v>45876</c:v>
                </c:pt>
                <c:pt idx="395">
                  <c:v>45872</c:v>
                </c:pt>
                <c:pt idx="398">
                  <c:v>45873</c:v>
                </c:pt>
                <c:pt idx="402">
                  <c:v>45871</c:v>
                </c:pt>
                <c:pt idx="403">
                  <c:v>45871</c:v>
                </c:pt>
                <c:pt idx="404">
                  <c:v>45874</c:v>
                </c:pt>
                <c:pt idx="406">
                  <c:v>45874</c:v>
                </c:pt>
                <c:pt idx="408">
                  <c:v>45876</c:v>
                </c:pt>
                <c:pt idx="412">
                  <c:v>45877</c:v>
                </c:pt>
                <c:pt idx="415">
                  <c:v>45876</c:v>
                </c:pt>
                <c:pt idx="417">
                  <c:v>45876</c:v>
                </c:pt>
                <c:pt idx="419">
                  <c:v>45874</c:v>
                </c:pt>
                <c:pt idx="420">
                  <c:v>45875</c:v>
                </c:pt>
                <c:pt idx="421">
                  <c:v>45874</c:v>
                </c:pt>
                <c:pt idx="422">
                  <c:v>45876</c:v>
                </c:pt>
                <c:pt idx="423">
                  <c:v>45876</c:v>
                </c:pt>
                <c:pt idx="424">
                  <c:v>45877</c:v>
                </c:pt>
                <c:pt idx="425">
                  <c:v>45877</c:v>
                </c:pt>
                <c:pt idx="426">
                  <c:v>45877</c:v>
                </c:pt>
                <c:pt idx="427">
                  <c:v>45877</c:v>
                </c:pt>
                <c:pt idx="428">
                  <c:v>45879</c:v>
                </c:pt>
                <c:pt idx="433">
                  <c:v>45880</c:v>
                </c:pt>
                <c:pt idx="438">
                  <c:v>45886</c:v>
                </c:pt>
                <c:pt idx="443">
                  <c:v>45881</c:v>
                </c:pt>
                <c:pt idx="449">
                  <c:v>45880</c:v>
                </c:pt>
                <c:pt idx="451">
                  <c:v>45881</c:v>
                </c:pt>
                <c:pt idx="453">
                  <c:v>45884</c:v>
                </c:pt>
                <c:pt idx="456">
                  <c:v>45886</c:v>
                </c:pt>
                <c:pt idx="463">
                  <c:v>45880</c:v>
                </c:pt>
                <c:pt idx="464">
                  <c:v>45881</c:v>
                </c:pt>
                <c:pt idx="466">
                  <c:v>45881</c:v>
                </c:pt>
                <c:pt idx="467">
                  <c:v>45884</c:v>
                </c:pt>
                <c:pt idx="470">
                  <c:v>45882</c:v>
                </c:pt>
                <c:pt idx="472">
                  <c:v>45881</c:v>
                </c:pt>
                <c:pt idx="473">
                  <c:v>45883</c:v>
                </c:pt>
                <c:pt idx="475">
                  <c:v>45884</c:v>
                </c:pt>
                <c:pt idx="478">
                  <c:v>45883</c:v>
                </c:pt>
                <c:pt idx="480">
                  <c:v>45882</c:v>
                </c:pt>
                <c:pt idx="481">
                  <c:v>45882</c:v>
                </c:pt>
                <c:pt idx="482">
                  <c:v>45882</c:v>
                </c:pt>
                <c:pt idx="483">
                  <c:v>45885</c:v>
                </c:pt>
                <c:pt idx="488">
                  <c:v>45884</c:v>
                </c:pt>
                <c:pt idx="490">
                  <c:v>45885</c:v>
                </c:pt>
                <c:pt idx="494">
                  <c:v>45884</c:v>
                </c:pt>
                <c:pt idx="495">
                  <c:v>45884</c:v>
                </c:pt>
                <c:pt idx="496">
                  <c:v>45884</c:v>
                </c:pt>
                <c:pt idx="497">
                  <c:v>45884</c:v>
                </c:pt>
                <c:pt idx="498">
                  <c:v>45887</c:v>
                </c:pt>
                <c:pt idx="502">
                  <c:v>45886</c:v>
                </c:pt>
                <c:pt idx="505">
                  <c:v>45886</c:v>
                </c:pt>
                <c:pt idx="507">
                  <c:v>45886</c:v>
                </c:pt>
                <c:pt idx="508">
                  <c:v>45886</c:v>
                </c:pt>
                <c:pt idx="509">
                  <c:v>45888</c:v>
                </c:pt>
                <c:pt idx="510">
                  <c:v>45888</c:v>
                </c:pt>
                <c:pt idx="511">
                  <c:v>45888</c:v>
                </c:pt>
                <c:pt idx="512">
                  <c:v>45888</c:v>
                </c:pt>
                <c:pt idx="513">
                  <c:v>45887</c:v>
                </c:pt>
                <c:pt idx="514">
                  <c:v>45891</c:v>
                </c:pt>
                <c:pt idx="518">
                  <c:v>45892</c:v>
                </c:pt>
                <c:pt idx="519">
                  <c:v>45889</c:v>
                </c:pt>
                <c:pt idx="521">
                  <c:v>45889</c:v>
                </c:pt>
                <c:pt idx="523">
                  <c:v>45889</c:v>
                </c:pt>
                <c:pt idx="525">
                  <c:v>45889</c:v>
                </c:pt>
                <c:pt idx="526">
                  <c:v>45888</c:v>
                </c:pt>
                <c:pt idx="528">
                  <c:v>45888</c:v>
                </c:pt>
                <c:pt idx="529">
                  <c:v>45888</c:v>
                </c:pt>
                <c:pt idx="530">
                  <c:v>45888</c:v>
                </c:pt>
                <c:pt idx="531">
                  <c:v>45888</c:v>
                </c:pt>
                <c:pt idx="532">
                  <c:v>45888</c:v>
                </c:pt>
                <c:pt idx="533">
                  <c:v>45888</c:v>
                </c:pt>
                <c:pt idx="534">
                  <c:v>45890</c:v>
                </c:pt>
                <c:pt idx="538">
                  <c:v>45891</c:v>
                </c:pt>
                <c:pt idx="541">
                  <c:v>45889</c:v>
                </c:pt>
                <c:pt idx="542">
                  <c:v>45889</c:v>
                </c:pt>
                <c:pt idx="543">
                  <c:v>45889</c:v>
                </c:pt>
                <c:pt idx="544">
                  <c:v>45889</c:v>
                </c:pt>
                <c:pt idx="545">
                  <c:v>45891</c:v>
                </c:pt>
                <c:pt idx="547">
                  <c:v>45891</c:v>
                </c:pt>
                <c:pt idx="549">
                  <c:v>45891</c:v>
                </c:pt>
                <c:pt idx="551">
                  <c:v>45891</c:v>
                </c:pt>
                <c:pt idx="553">
                  <c:v>45891</c:v>
                </c:pt>
                <c:pt idx="555">
                  <c:v>45891</c:v>
                </c:pt>
                <c:pt idx="557">
                  <c:v>45891</c:v>
                </c:pt>
                <c:pt idx="559">
                  <c:v>45890</c:v>
                </c:pt>
                <c:pt idx="560">
                  <c:v>45890</c:v>
                </c:pt>
                <c:pt idx="561">
                  <c:v>45890</c:v>
                </c:pt>
                <c:pt idx="562">
                  <c:v>45890</c:v>
                </c:pt>
                <c:pt idx="563">
                  <c:v>45890</c:v>
                </c:pt>
                <c:pt idx="564">
                  <c:v>45890</c:v>
                </c:pt>
                <c:pt idx="565">
                  <c:v>45891</c:v>
                </c:pt>
                <c:pt idx="568">
                  <c:v>45890</c:v>
                </c:pt>
                <c:pt idx="569">
                  <c:v>45890</c:v>
                </c:pt>
                <c:pt idx="570">
                  <c:v>45892</c:v>
                </c:pt>
                <c:pt idx="572">
                  <c:v>45891</c:v>
                </c:pt>
                <c:pt idx="573">
                  <c:v>45891</c:v>
                </c:pt>
                <c:pt idx="574">
                  <c:v>45894</c:v>
                </c:pt>
                <c:pt idx="578">
                  <c:v>45892</c:v>
                </c:pt>
                <c:pt idx="579">
                  <c:v>45894</c:v>
                </c:pt>
                <c:pt idx="583">
                  <c:v>45894</c:v>
                </c:pt>
                <c:pt idx="585">
                  <c:v>45894</c:v>
                </c:pt>
                <c:pt idx="586">
                  <c:v>45898</c:v>
                </c:pt>
                <c:pt idx="591">
                  <c:v>45894</c:v>
                </c:pt>
                <c:pt idx="592">
                  <c:v>45895</c:v>
                </c:pt>
                <c:pt idx="594">
                  <c:v>45895</c:v>
                </c:pt>
                <c:pt idx="595">
                  <c:v>45898</c:v>
                </c:pt>
                <c:pt idx="599">
                  <c:v>45899</c:v>
                </c:pt>
                <c:pt idx="603">
                  <c:v>45899</c:v>
                </c:pt>
                <c:pt idx="607">
                  <c:v>45899</c:v>
                </c:pt>
                <c:pt idx="611">
                  <c:v>45899</c:v>
                </c:pt>
                <c:pt idx="615">
                  <c:v>45896</c:v>
                </c:pt>
                <c:pt idx="617">
                  <c:v>45896</c:v>
                </c:pt>
                <c:pt idx="619">
                  <c:v>45896</c:v>
                </c:pt>
                <c:pt idx="620">
                  <c:v>45896</c:v>
                </c:pt>
                <c:pt idx="621">
                  <c:v>45896</c:v>
                </c:pt>
                <c:pt idx="622">
                  <c:v>45898</c:v>
                </c:pt>
                <c:pt idx="623">
                  <c:v>45898</c:v>
                </c:pt>
                <c:pt idx="624">
                  <c:v>45898</c:v>
                </c:pt>
                <c:pt idx="625">
                  <c:v>45901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13B7-4365-B0FA-4FDEDDB054DA}"/>
            </c:ext>
          </c:extLst>
        </c:ser>
        <c:ser>
          <c:idx val="7"/>
          <c:order val="7"/>
          <c:tx>
            <c:v> Total Margin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Sheet1!$J$2:$J$629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6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1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3B7-4365-B0FA-4FDEDDB054DA}"/>
            </c:ext>
          </c:extLst>
        </c:ser>
        <c:ser>
          <c:idx val="8"/>
          <c:order val="8"/>
          <c:tx>
            <c:strRef>
              <c:f>Sheet1!$K$1</c:f>
              <c:strCache>
                <c:ptCount val="1"/>
                <c:pt idx="0">
                  <c:v>Harga</c:v>
                </c:pt>
              </c:strCache>
            </c:strRef>
          </c:tx>
          <c:spPr>
            <a:solidFill>
              <a:srgbClr val="F1F1F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Sheet1!$K$2:$K$629</c:f>
              <c:numCache>
                <c:formatCode>_-"Rp"* #,##0_-;\-"Rp"* #,##0_-;_-"Rp"* "-"??_-;_-@</c:formatCode>
                <c:ptCount val="628"/>
                <c:pt idx="0">
                  <c:v>1100000</c:v>
                </c:pt>
                <c:pt idx="1">
                  <c:v>2250000</c:v>
                </c:pt>
                <c:pt idx="4">
                  <c:v>750000</c:v>
                </c:pt>
                <c:pt idx="5">
                  <c:v>912000</c:v>
                </c:pt>
                <c:pt idx="6">
                  <c:v>1850000</c:v>
                </c:pt>
                <c:pt idx="8">
                  <c:v>864001</c:v>
                </c:pt>
                <c:pt idx="9">
                  <c:v>864001</c:v>
                </c:pt>
                <c:pt idx="10">
                  <c:v>1824001</c:v>
                </c:pt>
                <c:pt idx="12">
                  <c:v>3600000</c:v>
                </c:pt>
                <c:pt idx="14">
                  <c:v>816001</c:v>
                </c:pt>
                <c:pt idx="15">
                  <c:v>750000</c:v>
                </c:pt>
                <c:pt idx="16">
                  <c:v>2200000</c:v>
                </c:pt>
                <c:pt idx="18">
                  <c:v>900000</c:v>
                </c:pt>
                <c:pt idx="19">
                  <c:v>4596081</c:v>
                </c:pt>
                <c:pt idx="25">
                  <c:v>3631890</c:v>
                </c:pt>
                <c:pt idx="29">
                  <c:v>2653730</c:v>
                </c:pt>
                <c:pt idx="32">
                  <c:v>2189152</c:v>
                </c:pt>
                <c:pt idx="35">
                  <c:v>7500000</c:v>
                </c:pt>
                <c:pt idx="40">
                  <c:v>2775000</c:v>
                </c:pt>
                <c:pt idx="43">
                  <c:v>3225000</c:v>
                </c:pt>
                <c:pt idx="46">
                  <c:v>4903000</c:v>
                </c:pt>
                <c:pt idx="51">
                  <c:v>3217000</c:v>
                </c:pt>
                <c:pt idx="54">
                  <c:v>864000</c:v>
                </c:pt>
                <c:pt idx="55">
                  <c:v>23000000</c:v>
                </c:pt>
                <c:pt idx="64">
                  <c:v>3512435</c:v>
                </c:pt>
                <c:pt idx="68">
                  <c:v>2450000</c:v>
                </c:pt>
                <c:pt idx="72">
                  <c:v>1310000</c:v>
                </c:pt>
                <c:pt idx="74">
                  <c:v>864001</c:v>
                </c:pt>
                <c:pt idx="75">
                  <c:v>3692000</c:v>
                </c:pt>
                <c:pt idx="79">
                  <c:v>1097000</c:v>
                </c:pt>
                <c:pt idx="80">
                  <c:v>2856000</c:v>
                </c:pt>
                <c:pt idx="83">
                  <c:v>6375000</c:v>
                </c:pt>
                <c:pt idx="87">
                  <c:v>5600000</c:v>
                </c:pt>
                <c:pt idx="91">
                  <c:v>7800000</c:v>
                </c:pt>
                <c:pt idx="95">
                  <c:v>4700000</c:v>
                </c:pt>
                <c:pt idx="98">
                  <c:v>0</c:v>
                </c:pt>
                <c:pt idx="100">
                  <c:v>1896048</c:v>
                </c:pt>
                <c:pt idx="102">
                  <c:v>700000</c:v>
                </c:pt>
                <c:pt idx="104">
                  <c:v>1728001</c:v>
                </c:pt>
                <c:pt idx="106">
                  <c:v>1975000</c:v>
                </c:pt>
                <c:pt idx="109">
                  <c:v>2900000</c:v>
                </c:pt>
                <c:pt idx="112">
                  <c:v>750000</c:v>
                </c:pt>
                <c:pt idx="113">
                  <c:v>0</c:v>
                </c:pt>
                <c:pt idx="117">
                  <c:v>700000</c:v>
                </c:pt>
                <c:pt idx="119">
                  <c:v>5500000</c:v>
                </c:pt>
                <c:pt idx="121">
                  <c:v>700000</c:v>
                </c:pt>
                <c:pt idx="123">
                  <c:v>13615564</c:v>
                </c:pt>
                <c:pt idx="126">
                  <c:v>13615565</c:v>
                </c:pt>
                <c:pt idx="129">
                  <c:v>1400000</c:v>
                </c:pt>
                <c:pt idx="130">
                  <c:v>3500000</c:v>
                </c:pt>
                <c:pt idx="133">
                  <c:v>700000</c:v>
                </c:pt>
                <c:pt idx="135">
                  <c:v>925000</c:v>
                </c:pt>
                <c:pt idx="136">
                  <c:v>1600000</c:v>
                </c:pt>
                <c:pt idx="137">
                  <c:v>700000</c:v>
                </c:pt>
                <c:pt idx="139">
                  <c:v>1774000</c:v>
                </c:pt>
                <c:pt idx="141">
                  <c:v>4175000</c:v>
                </c:pt>
                <c:pt idx="145">
                  <c:v>720001</c:v>
                </c:pt>
                <c:pt idx="146">
                  <c:v>900000</c:v>
                </c:pt>
                <c:pt idx="147">
                  <c:v>1500000</c:v>
                </c:pt>
                <c:pt idx="148">
                  <c:v>1824001</c:v>
                </c:pt>
                <c:pt idx="150">
                  <c:v>912001</c:v>
                </c:pt>
                <c:pt idx="151">
                  <c:v>22950000</c:v>
                </c:pt>
                <c:pt idx="156">
                  <c:v>350000</c:v>
                </c:pt>
                <c:pt idx="157">
                  <c:v>6376000</c:v>
                </c:pt>
                <c:pt idx="161">
                  <c:v>900000</c:v>
                </c:pt>
                <c:pt idx="162">
                  <c:v>1900000</c:v>
                </c:pt>
                <c:pt idx="163">
                  <c:v>3098000</c:v>
                </c:pt>
                <c:pt idx="165">
                  <c:v>700000</c:v>
                </c:pt>
                <c:pt idx="167">
                  <c:v>912000</c:v>
                </c:pt>
                <c:pt idx="168">
                  <c:v>3457715</c:v>
                </c:pt>
                <c:pt idx="173">
                  <c:v>2946834</c:v>
                </c:pt>
                <c:pt idx="177">
                  <c:v>2653730</c:v>
                </c:pt>
                <c:pt idx="180">
                  <c:v>2880001</c:v>
                </c:pt>
                <c:pt idx="183">
                  <c:v>816001</c:v>
                </c:pt>
                <c:pt idx="184">
                  <c:v>0</c:v>
                </c:pt>
                <c:pt idx="190">
                  <c:v>2035000</c:v>
                </c:pt>
                <c:pt idx="191">
                  <c:v>912001</c:v>
                </c:pt>
                <c:pt idx="192">
                  <c:v>1150000</c:v>
                </c:pt>
                <c:pt idx="194">
                  <c:v>5000000</c:v>
                </c:pt>
                <c:pt idx="198">
                  <c:v>7680004</c:v>
                </c:pt>
                <c:pt idx="206">
                  <c:v>1720000</c:v>
                </c:pt>
                <c:pt idx="208">
                  <c:v>1500000</c:v>
                </c:pt>
                <c:pt idx="209">
                  <c:v>3631890</c:v>
                </c:pt>
                <c:pt idx="212">
                  <c:v>1600000</c:v>
                </c:pt>
                <c:pt idx="213">
                  <c:v>1250000</c:v>
                </c:pt>
                <c:pt idx="214">
                  <c:v>7600000</c:v>
                </c:pt>
                <c:pt idx="218">
                  <c:v>1250000</c:v>
                </c:pt>
                <c:pt idx="219">
                  <c:v>2036000</c:v>
                </c:pt>
                <c:pt idx="220">
                  <c:v>3776000</c:v>
                </c:pt>
                <c:pt idx="222">
                  <c:v>1309955</c:v>
                </c:pt>
                <c:pt idx="224">
                  <c:v>2325000</c:v>
                </c:pt>
                <c:pt idx="226">
                  <c:v>2325000</c:v>
                </c:pt>
                <c:pt idx="228">
                  <c:v>2325000</c:v>
                </c:pt>
                <c:pt idx="230">
                  <c:v>2325000</c:v>
                </c:pt>
                <c:pt idx="232">
                  <c:v>2325000</c:v>
                </c:pt>
                <c:pt idx="234">
                  <c:v>2325000</c:v>
                </c:pt>
                <c:pt idx="236">
                  <c:v>2325000</c:v>
                </c:pt>
                <c:pt idx="238">
                  <c:v>2325000</c:v>
                </c:pt>
                <c:pt idx="240">
                  <c:v>2325000</c:v>
                </c:pt>
                <c:pt idx="242">
                  <c:v>2325000</c:v>
                </c:pt>
                <c:pt idx="244">
                  <c:v>2450000</c:v>
                </c:pt>
                <c:pt idx="246">
                  <c:v>2325000</c:v>
                </c:pt>
                <c:pt idx="248">
                  <c:v>2325000</c:v>
                </c:pt>
                <c:pt idx="250">
                  <c:v>2325000</c:v>
                </c:pt>
                <c:pt idx="252">
                  <c:v>8253500</c:v>
                </c:pt>
                <c:pt idx="257">
                  <c:v>864000</c:v>
                </c:pt>
                <c:pt idx="258">
                  <c:v>1920001</c:v>
                </c:pt>
                <c:pt idx="260">
                  <c:v>2700000</c:v>
                </c:pt>
                <c:pt idx="263">
                  <c:v>2700000</c:v>
                </c:pt>
                <c:pt idx="266">
                  <c:v>1440001</c:v>
                </c:pt>
                <c:pt idx="268">
                  <c:v>750000</c:v>
                </c:pt>
                <c:pt idx="269">
                  <c:v>2250000</c:v>
                </c:pt>
                <c:pt idx="272">
                  <c:v>809000</c:v>
                </c:pt>
                <c:pt idx="273">
                  <c:v>4092096</c:v>
                </c:pt>
                <c:pt idx="277">
                  <c:v>1728001</c:v>
                </c:pt>
                <c:pt idx="279">
                  <c:v>1728001</c:v>
                </c:pt>
                <c:pt idx="281">
                  <c:v>1728001</c:v>
                </c:pt>
                <c:pt idx="283">
                  <c:v>850000</c:v>
                </c:pt>
                <c:pt idx="284">
                  <c:v>1300000</c:v>
                </c:pt>
                <c:pt idx="286">
                  <c:v>1125000</c:v>
                </c:pt>
                <c:pt idx="288">
                  <c:v>2300000</c:v>
                </c:pt>
                <c:pt idx="289">
                  <c:v>1600000</c:v>
                </c:pt>
                <c:pt idx="290">
                  <c:v>1500000</c:v>
                </c:pt>
                <c:pt idx="292">
                  <c:v>1100000</c:v>
                </c:pt>
                <c:pt idx="293">
                  <c:v>1514000</c:v>
                </c:pt>
                <c:pt idx="294">
                  <c:v>912000</c:v>
                </c:pt>
                <c:pt idx="295">
                  <c:v>3450000</c:v>
                </c:pt>
                <c:pt idx="299">
                  <c:v>0</c:v>
                </c:pt>
                <c:pt idx="300">
                  <c:v>2700033</c:v>
                </c:pt>
                <c:pt idx="303">
                  <c:v>1500000</c:v>
                </c:pt>
                <c:pt idx="306">
                  <c:v>2400000</c:v>
                </c:pt>
                <c:pt idx="309">
                  <c:v>3800000</c:v>
                </c:pt>
                <c:pt idx="311">
                  <c:v>2112001</c:v>
                </c:pt>
                <c:pt idx="313">
                  <c:v>1050000</c:v>
                </c:pt>
                <c:pt idx="314">
                  <c:v>2653730</c:v>
                </c:pt>
                <c:pt idx="317">
                  <c:v>1896048</c:v>
                </c:pt>
                <c:pt idx="319">
                  <c:v>1700000</c:v>
                </c:pt>
                <c:pt idx="321">
                  <c:v>6250000</c:v>
                </c:pt>
                <c:pt idx="327">
                  <c:v>1550000</c:v>
                </c:pt>
                <c:pt idx="328">
                  <c:v>850000</c:v>
                </c:pt>
                <c:pt idx="329">
                  <c:v>850000</c:v>
                </c:pt>
                <c:pt idx="330">
                  <c:v>1300000</c:v>
                </c:pt>
                <c:pt idx="331">
                  <c:v>1300000</c:v>
                </c:pt>
                <c:pt idx="332">
                  <c:v>2875000</c:v>
                </c:pt>
                <c:pt idx="333">
                  <c:v>1300000</c:v>
                </c:pt>
                <c:pt idx="334">
                  <c:v>1300000</c:v>
                </c:pt>
                <c:pt idx="335">
                  <c:v>2875000</c:v>
                </c:pt>
                <c:pt idx="336">
                  <c:v>1728000</c:v>
                </c:pt>
                <c:pt idx="338">
                  <c:v>1728000</c:v>
                </c:pt>
                <c:pt idx="340">
                  <c:v>1000000</c:v>
                </c:pt>
                <c:pt idx="342">
                  <c:v>3950000</c:v>
                </c:pt>
                <c:pt idx="344">
                  <c:v>864001</c:v>
                </c:pt>
                <c:pt idx="345">
                  <c:v>864001</c:v>
                </c:pt>
                <c:pt idx="346">
                  <c:v>864001</c:v>
                </c:pt>
                <c:pt idx="347">
                  <c:v>900000</c:v>
                </c:pt>
                <c:pt idx="348">
                  <c:v>650000</c:v>
                </c:pt>
                <c:pt idx="349">
                  <c:v>1000000</c:v>
                </c:pt>
                <c:pt idx="350">
                  <c:v>864001</c:v>
                </c:pt>
                <c:pt idx="351">
                  <c:v>864001</c:v>
                </c:pt>
                <c:pt idx="352">
                  <c:v>850000</c:v>
                </c:pt>
                <c:pt idx="353">
                  <c:v>900000</c:v>
                </c:pt>
                <c:pt idx="354">
                  <c:v>650000</c:v>
                </c:pt>
                <c:pt idx="355">
                  <c:v>650000</c:v>
                </c:pt>
                <c:pt idx="356">
                  <c:v>2450000</c:v>
                </c:pt>
                <c:pt idx="358">
                  <c:v>1300000</c:v>
                </c:pt>
                <c:pt idx="359">
                  <c:v>950000</c:v>
                </c:pt>
                <c:pt idx="360">
                  <c:v>1449000</c:v>
                </c:pt>
                <c:pt idx="362">
                  <c:v>2820500</c:v>
                </c:pt>
                <c:pt idx="365">
                  <c:v>2820500</c:v>
                </c:pt>
                <c:pt idx="368">
                  <c:v>2239776</c:v>
                </c:pt>
                <c:pt idx="371">
                  <c:v>6000000</c:v>
                </c:pt>
                <c:pt idx="375">
                  <c:v>1250000</c:v>
                </c:pt>
                <c:pt idx="376">
                  <c:v>1458000</c:v>
                </c:pt>
                <c:pt idx="378">
                  <c:v>912001</c:v>
                </c:pt>
                <c:pt idx="379">
                  <c:v>864001</c:v>
                </c:pt>
                <c:pt idx="380">
                  <c:v>3264000</c:v>
                </c:pt>
                <c:pt idx="382">
                  <c:v>3264001</c:v>
                </c:pt>
                <c:pt idx="384">
                  <c:v>1728001</c:v>
                </c:pt>
                <c:pt idx="386">
                  <c:v>816001</c:v>
                </c:pt>
                <c:pt idx="387">
                  <c:v>897000</c:v>
                </c:pt>
                <c:pt idx="388">
                  <c:v>816000</c:v>
                </c:pt>
                <c:pt idx="389">
                  <c:v>7450000</c:v>
                </c:pt>
                <c:pt idx="395">
                  <c:v>3600000</c:v>
                </c:pt>
                <c:pt idx="398">
                  <c:v>4000000</c:v>
                </c:pt>
                <c:pt idx="402">
                  <c:v>1025000</c:v>
                </c:pt>
                <c:pt idx="403">
                  <c:v>1275000</c:v>
                </c:pt>
                <c:pt idx="404">
                  <c:v>750000</c:v>
                </c:pt>
                <c:pt idx="408">
                  <c:v>3631890</c:v>
                </c:pt>
                <c:pt idx="411">
                  <c:v>864001</c:v>
                </c:pt>
                <c:pt idx="412">
                  <c:v>5867683</c:v>
                </c:pt>
                <c:pt idx="415">
                  <c:v>1920001</c:v>
                </c:pt>
                <c:pt idx="417">
                  <c:v>2750000</c:v>
                </c:pt>
                <c:pt idx="419">
                  <c:v>1650000</c:v>
                </c:pt>
                <c:pt idx="420">
                  <c:v>1250000</c:v>
                </c:pt>
                <c:pt idx="421">
                  <c:v>2500000</c:v>
                </c:pt>
                <c:pt idx="422">
                  <c:v>650000</c:v>
                </c:pt>
                <c:pt idx="423">
                  <c:v>1100000</c:v>
                </c:pt>
                <c:pt idx="424">
                  <c:v>816001</c:v>
                </c:pt>
                <c:pt idx="425">
                  <c:v>864001</c:v>
                </c:pt>
                <c:pt idx="426">
                  <c:v>864001</c:v>
                </c:pt>
                <c:pt idx="427">
                  <c:v>650000</c:v>
                </c:pt>
                <c:pt idx="428">
                  <c:v>5781105</c:v>
                </c:pt>
                <c:pt idx="433">
                  <c:v>4389572</c:v>
                </c:pt>
                <c:pt idx="438">
                  <c:v>6080371</c:v>
                </c:pt>
                <c:pt idx="443">
                  <c:v>5807313</c:v>
                </c:pt>
                <c:pt idx="449">
                  <c:v>1896048</c:v>
                </c:pt>
                <c:pt idx="451">
                  <c:v>1728001</c:v>
                </c:pt>
                <c:pt idx="453">
                  <c:v>2736001</c:v>
                </c:pt>
                <c:pt idx="456">
                  <c:v>11500000</c:v>
                </c:pt>
                <c:pt idx="463">
                  <c:v>1500000</c:v>
                </c:pt>
                <c:pt idx="464">
                  <c:v>1728001</c:v>
                </c:pt>
                <c:pt idx="466">
                  <c:v>864001</c:v>
                </c:pt>
                <c:pt idx="467">
                  <c:v>2736001</c:v>
                </c:pt>
                <c:pt idx="470">
                  <c:v>1824001</c:v>
                </c:pt>
                <c:pt idx="472">
                  <c:v>864001</c:v>
                </c:pt>
                <c:pt idx="473">
                  <c:v>1824001</c:v>
                </c:pt>
                <c:pt idx="475">
                  <c:v>2736001</c:v>
                </c:pt>
                <c:pt idx="478">
                  <c:v>1951000</c:v>
                </c:pt>
                <c:pt idx="480">
                  <c:v>1713583</c:v>
                </c:pt>
                <c:pt idx="481">
                  <c:v>1713583</c:v>
                </c:pt>
                <c:pt idx="482">
                  <c:v>1713583</c:v>
                </c:pt>
                <c:pt idx="483">
                  <c:v>6853500</c:v>
                </c:pt>
                <c:pt idx="488">
                  <c:v>1824001</c:v>
                </c:pt>
                <c:pt idx="490">
                  <c:v>5665635</c:v>
                </c:pt>
                <c:pt idx="494">
                  <c:v>912000</c:v>
                </c:pt>
                <c:pt idx="495">
                  <c:v>2875000</c:v>
                </c:pt>
                <c:pt idx="496">
                  <c:v>1132875</c:v>
                </c:pt>
                <c:pt idx="497">
                  <c:v>1132875</c:v>
                </c:pt>
                <c:pt idx="498">
                  <c:v>4197500</c:v>
                </c:pt>
                <c:pt idx="502">
                  <c:v>3338786</c:v>
                </c:pt>
                <c:pt idx="505">
                  <c:v>750000</c:v>
                </c:pt>
                <c:pt idx="507">
                  <c:v>0</c:v>
                </c:pt>
                <c:pt idx="508">
                  <c:v>3126000</c:v>
                </c:pt>
                <c:pt idx="509">
                  <c:v>3648000</c:v>
                </c:pt>
                <c:pt idx="513">
                  <c:v>0</c:v>
                </c:pt>
                <c:pt idx="514">
                  <c:v>2947000</c:v>
                </c:pt>
                <c:pt idx="518">
                  <c:v>380000</c:v>
                </c:pt>
                <c:pt idx="519">
                  <c:v>1824000</c:v>
                </c:pt>
                <c:pt idx="521">
                  <c:v>1728000</c:v>
                </c:pt>
                <c:pt idx="523">
                  <c:v>1728000</c:v>
                </c:pt>
                <c:pt idx="525">
                  <c:v>350000</c:v>
                </c:pt>
                <c:pt idx="526">
                  <c:v>1824001</c:v>
                </c:pt>
                <c:pt idx="528">
                  <c:v>2840000</c:v>
                </c:pt>
                <c:pt idx="529">
                  <c:v>2840000</c:v>
                </c:pt>
                <c:pt idx="530">
                  <c:v>2840000</c:v>
                </c:pt>
                <c:pt idx="531">
                  <c:v>2840000</c:v>
                </c:pt>
                <c:pt idx="532">
                  <c:v>2840000</c:v>
                </c:pt>
                <c:pt idx="533">
                  <c:v>350000</c:v>
                </c:pt>
                <c:pt idx="534">
                  <c:v>5666000</c:v>
                </c:pt>
                <c:pt idx="538">
                  <c:v>4962000</c:v>
                </c:pt>
                <c:pt idx="541">
                  <c:v>950000</c:v>
                </c:pt>
                <c:pt idx="542">
                  <c:v>950000</c:v>
                </c:pt>
                <c:pt idx="543">
                  <c:v>950000</c:v>
                </c:pt>
                <c:pt idx="544">
                  <c:v>950000</c:v>
                </c:pt>
                <c:pt idx="545">
                  <c:v>1921000</c:v>
                </c:pt>
                <c:pt idx="547">
                  <c:v>1921000</c:v>
                </c:pt>
                <c:pt idx="549">
                  <c:v>1921000</c:v>
                </c:pt>
                <c:pt idx="551">
                  <c:v>1921000</c:v>
                </c:pt>
                <c:pt idx="553">
                  <c:v>1921000</c:v>
                </c:pt>
                <c:pt idx="555">
                  <c:v>2773500</c:v>
                </c:pt>
                <c:pt idx="557">
                  <c:v>3173500</c:v>
                </c:pt>
                <c:pt idx="559">
                  <c:v>3000000</c:v>
                </c:pt>
                <c:pt idx="560">
                  <c:v>3000000</c:v>
                </c:pt>
                <c:pt idx="561">
                  <c:v>3000000</c:v>
                </c:pt>
                <c:pt idx="562">
                  <c:v>3000000</c:v>
                </c:pt>
                <c:pt idx="563">
                  <c:v>1700000</c:v>
                </c:pt>
                <c:pt idx="564">
                  <c:v>1700000</c:v>
                </c:pt>
                <c:pt idx="565">
                  <c:v>7700000</c:v>
                </c:pt>
                <c:pt idx="568">
                  <c:v>1650000</c:v>
                </c:pt>
                <c:pt idx="569">
                  <c:v>800000</c:v>
                </c:pt>
                <c:pt idx="570">
                  <c:v>750000</c:v>
                </c:pt>
                <c:pt idx="572">
                  <c:v>900000</c:v>
                </c:pt>
                <c:pt idx="573">
                  <c:v>1380000</c:v>
                </c:pt>
                <c:pt idx="574">
                  <c:v>5300000</c:v>
                </c:pt>
                <c:pt idx="578">
                  <c:v>900000</c:v>
                </c:pt>
                <c:pt idx="579">
                  <c:v>7000000</c:v>
                </c:pt>
                <c:pt idx="582">
                  <c:v>900000</c:v>
                </c:pt>
                <c:pt idx="583">
                  <c:v>3245000</c:v>
                </c:pt>
                <c:pt idx="585">
                  <c:v>1934000</c:v>
                </c:pt>
                <c:pt idx="586">
                  <c:v>2729000</c:v>
                </c:pt>
                <c:pt idx="591">
                  <c:v>0</c:v>
                </c:pt>
                <c:pt idx="592">
                  <c:v>1688000</c:v>
                </c:pt>
                <c:pt idx="594">
                  <c:v>723000</c:v>
                </c:pt>
                <c:pt idx="595">
                  <c:v>2700000</c:v>
                </c:pt>
                <c:pt idx="599">
                  <c:v>6144000</c:v>
                </c:pt>
                <c:pt idx="603">
                  <c:v>8448000</c:v>
                </c:pt>
                <c:pt idx="607">
                  <c:v>8448000</c:v>
                </c:pt>
                <c:pt idx="611">
                  <c:v>8448000</c:v>
                </c:pt>
                <c:pt idx="615">
                  <c:v>2750000</c:v>
                </c:pt>
                <c:pt idx="617">
                  <c:v>1431000</c:v>
                </c:pt>
                <c:pt idx="619">
                  <c:v>1713500</c:v>
                </c:pt>
                <c:pt idx="620">
                  <c:v>1713500</c:v>
                </c:pt>
                <c:pt idx="621">
                  <c:v>1713500</c:v>
                </c:pt>
                <c:pt idx="622">
                  <c:v>1713500</c:v>
                </c:pt>
                <c:pt idx="623">
                  <c:v>1713500</c:v>
                </c:pt>
                <c:pt idx="624">
                  <c:v>1713500</c:v>
                </c:pt>
                <c:pt idx="625">
                  <c:v>4250000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3B7-4365-B0FA-4FDEDDB054DA}"/>
            </c:ext>
          </c:extLst>
        </c:ser>
        <c:ser>
          <c:idx val="9"/>
          <c:order val="9"/>
          <c:tx>
            <c:strRef>
              <c:f>Sheet1!$L$1</c:f>
              <c:strCache>
                <c:ptCount val="1"/>
                <c:pt idx="0">
                  <c:v>Biaya Sewa Rekanan</c:v>
                </c:pt>
              </c:strCache>
            </c:strRef>
          </c:tx>
          <c:spPr>
            <a:solidFill>
              <a:srgbClr val="FFE69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Sheet1!$L$2:$L$629</c:f>
              <c:numCache>
                <c:formatCode>_-"Rp"* #,##0_-;\-"Rp"* #,##0_-;_-"Rp"* "-"??_-;_-@</c:formatCode>
                <c:ptCount val="628"/>
                <c:pt idx="0">
                  <c:v>400000</c:v>
                </c:pt>
                <c:pt idx="1">
                  <c:v>1200000</c:v>
                </c:pt>
                <c:pt idx="4">
                  <c:v>400000</c:v>
                </c:pt>
                <c:pt idx="5">
                  <c:v>375000</c:v>
                </c:pt>
                <c:pt idx="6">
                  <c:v>750000</c:v>
                </c:pt>
                <c:pt idx="8">
                  <c:v>375000</c:v>
                </c:pt>
                <c:pt idx="9">
                  <c:v>375000</c:v>
                </c:pt>
                <c:pt idx="10">
                  <c:v>750000</c:v>
                </c:pt>
                <c:pt idx="12">
                  <c:v>1400000</c:v>
                </c:pt>
                <c:pt idx="14">
                  <c:v>375000</c:v>
                </c:pt>
                <c:pt idx="15">
                  <c:v>375000</c:v>
                </c:pt>
                <c:pt idx="16">
                  <c:v>750000</c:v>
                </c:pt>
                <c:pt idx="18">
                  <c:v>375000</c:v>
                </c:pt>
                <c:pt idx="19">
                  <c:v>2400000</c:v>
                </c:pt>
                <c:pt idx="25">
                  <c:v>1125000</c:v>
                </c:pt>
                <c:pt idx="29">
                  <c:v>1125000</c:v>
                </c:pt>
                <c:pt idx="32">
                  <c:v>1125001</c:v>
                </c:pt>
                <c:pt idx="35">
                  <c:v>3250000</c:v>
                </c:pt>
                <c:pt idx="40">
                  <c:v>1150000</c:v>
                </c:pt>
                <c:pt idx="43">
                  <c:v>1125000</c:v>
                </c:pt>
                <c:pt idx="46">
                  <c:v>375000</c:v>
                </c:pt>
                <c:pt idx="51">
                  <c:v>1200000</c:v>
                </c:pt>
                <c:pt idx="54">
                  <c:v>375000</c:v>
                </c:pt>
                <c:pt idx="55">
                  <c:v>20700000</c:v>
                </c:pt>
                <c:pt idx="64">
                  <c:v>1600000</c:v>
                </c:pt>
                <c:pt idx="68">
                  <c:v>1500000</c:v>
                </c:pt>
                <c:pt idx="72">
                  <c:v>750000</c:v>
                </c:pt>
                <c:pt idx="74">
                  <c:v>375000</c:v>
                </c:pt>
                <c:pt idx="75">
                  <c:v>1000000</c:v>
                </c:pt>
                <c:pt idx="79">
                  <c:v>375000</c:v>
                </c:pt>
                <c:pt idx="80">
                  <c:v>1125000</c:v>
                </c:pt>
                <c:pt idx="83">
                  <c:v>2000000</c:v>
                </c:pt>
                <c:pt idx="87">
                  <c:v>2400000</c:v>
                </c:pt>
                <c:pt idx="91">
                  <c:v>4500000</c:v>
                </c:pt>
                <c:pt idx="95">
                  <c:v>2100000</c:v>
                </c:pt>
                <c:pt idx="98">
                  <c:v>800000</c:v>
                </c:pt>
                <c:pt idx="100">
                  <c:v>800000</c:v>
                </c:pt>
                <c:pt idx="102">
                  <c:v>400000</c:v>
                </c:pt>
                <c:pt idx="104">
                  <c:v>500000</c:v>
                </c:pt>
                <c:pt idx="106">
                  <c:v>1125000</c:v>
                </c:pt>
                <c:pt idx="109">
                  <c:v>1200000</c:v>
                </c:pt>
                <c:pt idx="112">
                  <c:v>500000</c:v>
                </c:pt>
                <c:pt idx="113">
                  <c:v>2400000</c:v>
                </c:pt>
                <c:pt idx="117">
                  <c:v>200000</c:v>
                </c:pt>
                <c:pt idx="119">
                  <c:v>3000000</c:v>
                </c:pt>
                <c:pt idx="121">
                  <c:v>400000</c:v>
                </c:pt>
                <c:pt idx="123">
                  <c:v>7250000</c:v>
                </c:pt>
                <c:pt idx="129">
                  <c:v>300000</c:v>
                </c:pt>
                <c:pt idx="130">
                  <c:v>1350000</c:v>
                </c:pt>
                <c:pt idx="133">
                  <c:v>400000</c:v>
                </c:pt>
                <c:pt idx="135">
                  <c:v>375000</c:v>
                </c:pt>
                <c:pt idx="136">
                  <c:v>600000</c:v>
                </c:pt>
                <c:pt idx="137">
                  <c:v>400000</c:v>
                </c:pt>
                <c:pt idx="139">
                  <c:v>750000</c:v>
                </c:pt>
                <c:pt idx="141">
                  <c:v>1800000</c:v>
                </c:pt>
                <c:pt idx="145">
                  <c:v>250000</c:v>
                </c:pt>
                <c:pt idx="146">
                  <c:v>250000</c:v>
                </c:pt>
                <c:pt idx="147">
                  <c:v>700000</c:v>
                </c:pt>
                <c:pt idx="148">
                  <c:v>750000</c:v>
                </c:pt>
                <c:pt idx="150">
                  <c:v>400000</c:v>
                </c:pt>
                <c:pt idx="151">
                  <c:v>8150000</c:v>
                </c:pt>
                <c:pt idx="156">
                  <c:v>0</c:v>
                </c:pt>
                <c:pt idx="157">
                  <c:v>2000000</c:v>
                </c:pt>
                <c:pt idx="161">
                  <c:v>400000</c:v>
                </c:pt>
                <c:pt idx="162">
                  <c:v>750000</c:v>
                </c:pt>
                <c:pt idx="163">
                  <c:v>1500000</c:v>
                </c:pt>
                <c:pt idx="165">
                  <c:v>400000</c:v>
                </c:pt>
                <c:pt idx="167">
                  <c:v>400000</c:v>
                </c:pt>
                <c:pt idx="168">
                  <c:v>1800000</c:v>
                </c:pt>
                <c:pt idx="173">
                  <c:v>1500000</c:v>
                </c:pt>
                <c:pt idx="177">
                  <c:v>1125000</c:v>
                </c:pt>
                <c:pt idx="180">
                  <c:v>1125000</c:v>
                </c:pt>
                <c:pt idx="183">
                  <c:v>400000</c:v>
                </c:pt>
                <c:pt idx="184">
                  <c:v>1500000</c:v>
                </c:pt>
                <c:pt idx="190">
                  <c:v>350000</c:v>
                </c:pt>
                <c:pt idx="191">
                  <c:v>400000</c:v>
                </c:pt>
                <c:pt idx="192">
                  <c:v>500000</c:v>
                </c:pt>
                <c:pt idx="194">
                  <c:v>2800000</c:v>
                </c:pt>
                <c:pt idx="198">
                  <c:v>3100000</c:v>
                </c:pt>
                <c:pt idx="206">
                  <c:v>500000</c:v>
                </c:pt>
                <c:pt idx="208">
                  <c:v>750000</c:v>
                </c:pt>
                <c:pt idx="209">
                  <c:v>1000000</c:v>
                </c:pt>
                <c:pt idx="212">
                  <c:v>700000</c:v>
                </c:pt>
                <c:pt idx="213">
                  <c:v>700000</c:v>
                </c:pt>
                <c:pt idx="214">
                  <c:v>3000000</c:v>
                </c:pt>
                <c:pt idx="218">
                  <c:v>700000</c:v>
                </c:pt>
                <c:pt idx="219">
                  <c:v>1500000</c:v>
                </c:pt>
                <c:pt idx="220">
                  <c:v>1750000</c:v>
                </c:pt>
                <c:pt idx="222">
                  <c:v>750000</c:v>
                </c:pt>
                <c:pt idx="224">
                  <c:v>750000</c:v>
                </c:pt>
                <c:pt idx="226">
                  <c:v>750000</c:v>
                </c:pt>
                <c:pt idx="228">
                  <c:v>800000</c:v>
                </c:pt>
                <c:pt idx="230">
                  <c:v>750000</c:v>
                </c:pt>
                <c:pt idx="232">
                  <c:v>750000</c:v>
                </c:pt>
                <c:pt idx="234">
                  <c:v>750000</c:v>
                </c:pt>
                <c:pt idx="236">
                  <c:v>750000</c:v>
                </c:pt>
                <c:pt idx="238">
                  <c:v>750000</c:v>
                </c:pt>
                <c:pt idx="240">
                  <c:v>750000</c:v>
                </c:pt>
                <c:pt idx="242">
                  <c:v>750000</c:v>
                </c:pt>
                <c:pt idx="244">
                  <c:v>800000</c:v>
                </c:pt>
                <c:pt idx="246">
                  <c:v>800000</c:v>
                </c:pt>
                <c:pt idx="248">
                  <c:v>750000</c:v>
                </c:pt>
                <c:pt idx="250">
                  <c:v>750000</c:v>
                </c:pt>
                <c:pt idx="252">
                  <c:v>7000000</c:v>
                </c:pt>
                <c:pt idx="257">
                  <c:v>400000</c:v>
                </c:pt>
                <c:pt idx="258">
                  <c:v>750000</c:v>
                </c:pt>
                <c:pt idx="260">
                  <c:v>1125000</c:v>
                </c:pt>
                <c:pt idx="263">
                  <c:v>1125000</c:v>
                </c:pt>
                <c:pt idx="266">
                  <c:v>500000</c:v>
                </c:pt>
                <c:pt idx="268">
                  <c:v>250000</c:v>
                </c:pt>
                <c:pt idx="269">
                  <c:v>1400000</c:v>
                </c:pt>
                <c:pt idx="272">
                  <c:v>250000</c:v>
                </c:pt>
                <c:pt idx="273">
                  <c:v>1600000</c:v>
                </c:pt>
                <c:pt idx="277">
                  <c:v>800000</c:v>
                </c:pt>
                <c:pt idx="279">
                  <c:v>750000</c:v>
                </c:pt>
                <c:pt idx="281">
                  <c:v>750001</c:v>
                </c:pt>
                <c:pt idx="283">
                  <c:v>375000</c:v>
                </c:pt>
                <c:pt idx="284">
                  <c:v>575000</c:v>
                </c:pt>
                <c:pt idx="286">
                  <c:v>575000</c:v>
                </c:pt>
                <c:pt idx="288">
                  <c:v>450000</c:v>
                </c:pt>
                <c:pt idx="289">
                  <c:v>700000</c:v>
                </c:pt>
                <c:pt idx="290">
                  <c:v>500000</c:v>
                </c:pt>
                <c:pt idx="292">
                  <c:v>250000</c:v>
                </c:pt>
                <c:pt idx="293">
                  <c:v>700000</c:v>
                </c:pt>
                <c:pt idx="294">
                  <c:v>400000</c:v>
                </c:pt>
                <c:pt idx="295">
                  <c:v>1600000</c:v>
                </c:pt>
                <c:pt idx="299">
                  <c:v>400000</c:v>
                </c:pt>
                <c:pt idx="300">
                  <c:v>1000000</c:v>
                </c:pt>
                <c:pt idx="303">
                  <c:v>800000</c:v>
                </c:pt>
                <c:pt idx="306">
                  <c:v>1200000</c:v>
                </c:pt>
                <c:pt idx="309">
                  <c:v>1500000</c:v>
                </c:pt>
                <c:pt idx="311">
                  <c:v>400000</c:v>
                </c:pt>
                <c:pt idx="313">
                  <c:v>400000</c:v>
                </c:pt>
                <c:pt idx="314">
                  <c:v>1200000</c:v>
                </c:pt>
                <c:pt idx="317">
                  <c:v>800000</c:v>
                </c:pt>
                <c:pt idx="319">
                  <c:v>750000</c:v>
                </c:pt>
                <c:pt idx="321">
                  <c:v>4200000</c:v>
                </c:pt>
                <c:pt idx="327">
                  <c:v>600000</c:v>
                </c:pt>
                <c:pt idx="328">
                  <c:v>400000</c:v>
                </c:pt>
                <c:pt idx="329">
                  <c:v>400000</c:v>
                </c:pt>
                <c:pt idx="330">
                  <c:v>700000</c:v>
                </c:pt>
                <c:pt idx="331">
                  <c:v>700000</c:v>
                </c:pt>
                <c:pt idx="332">
                  <c:v>2500000</c:v>
                </c:pt>
                <c:pt idx="333">
                  <c:v>700000</c:v>
                </c:pt>
                <c:pt idx="334">
                  <c:v>700000</c:v>
                </c:pt>
                <c:pt idx="335">
                  <c:v>2500000</c:v>
                </c:pt>
                <c:pt idx="336">
                  <c:v>800000</c:v>
                </c:pt>
                <c:pt idx="338">
                  <c:v>800000</c:v>
                </c:pt>
                <c:pt idx="340">
                  <c:v>700000</c:v>
                </c:pt>
                <c:pt idx="342">
                  <c:v>1500000</c:v>
                </c:pt>
                <c:pt idx="344">
                  <c:v>400000</c:v>
                </c:pt>
                <c:pt idx="345">
                  <c:v>400000</c:v>
                </c:pt>
                <c:pt idx="346">
                  <c:v>375000</c:v>
                </c:pt>
                <c:pt idx="347">
                  <c:v>400000</c:v>
                </c:pt>
                <c:pt idx="348">
                  <c:v>350000</c:v>
                </c:pt>
                <c:pt idx="349">
                  <c:v>400000</c:v>
                </c:pt>
                <c:pt idx="350">
                  <c:v>375000</c:v>
                </c:pt>
                <c:pt idx="351">
                  <c:v>400000</c:v>
                </c:pt>
                <c:pt idx="352">
                  <c:v>400000</c:v>
                </c:pt>
                <c:pt idx="353">
                  <c:v>400000</c:v>
                </c:pt>
                <c:pt idx="354">
                  <c:v>350000</c:v>
                </c:pt>
                <c:pt idx="355">
                  <c:v>350000</c:v>
                </c:pt>
                <c:pt idx="356">
                  <c:v>1400000</c:v>
                </c:pt>
                <c:pt idx="358">
                  <c:v>700000</c:v>
                </c:pt>
                <c:pt idx="359">
                  <c:v>400000</c:v>
                </c:pt>
                <c:pt idx="360">
                  <c:v>800000</c:v>
                </c:pt>
                <c:pt idx="362">
                  <c:v>1200000</c:v>
                </c:pt>
                <c:pt idx="365">
                  <c:v>1200000</c:v>
                </c:pt>
                <c:pt idx="368">
                  <c:v>1200000</c:v>
                </c:pt>
                <c:pt idx="371">
                  <c:v>2800000</c:v>
                </c:pt>
                <c:pt idx="375">
                  <c:v>400000</c:v>
                </c:pt>
                <c:pt idx="376">
                  <c:v>600000</c:v>
                </c:pt>
                <c:pt idx="378">
                  <c:v>400000</c:v>
                </c:pt>
                <c:pt idx="379">
                  <c:v>400000</c:v>
                </c:pt>
                <c:pt idx="380">
                  <c:v>800000</c:v>
                </c:pt>
                <c:pt idx="382">
                  <c:v>800000</c:v>
                </c:pt>
                <c:pt idx="384">
                  <c:v>750000</c:v>
                </c:pt>
                <c:pt idx="386">
                  <c:v>375000</c:v>
                </c:pt>
                <c:pt idx="387">
                  <c:v>375000</c:v>
                </c:pt>
                <c:pt idx="388">
                  <c:v>375000</c:v>
                </c:pt>
                <c:pt idx="389">
                  <c:v>4350000</c:v>
                </c:pt>
                <c:pt idx="395">
                  <c:v>2100000</c:v>
                </c:pt>
                <c:pt idx="398">
                  <c:v>750000</c:v>
                </c:pt>
                <c:pt idx="402">
                  <c:v>600000</c:v>
                </c:pt>
                <c:pt idx="403">
                  <c:v>700000</c:v>
                </c:pt>
                <c:pt idx="404">
                  <c:v>400000</c:v>
                </c:pt>
                <c:pt idx="406">
                  <c:v>800000</c:v>
                </c:pt>
                <c:pt idx="408">
                  <c:v>950000</c:v>
                </c:pt>
                <c:pt idx="411">
                  <c:v>375000</c:v>
                </c:pt>
                <c:pt idx="412">
                  <c:v>1800000</c:v>
                </c:pt>
                <c:pt idx="415">
                  <c:v>800000</c:v>
                </c:pt>
                <c:pt idx="417">
                  <c:v>900000</c:v>
                </c:pt>
                <c:pt idx="419">
                  <c:v>600000</c:v>
                </c:pt>
                <c:pt idx="420">
                  <c:v>600000</c:v>
                </c:pt>
                <c:pt idx="421">
                  <c:v>1600000</c:v>
                </c:pt>
                <c:pt idx="422">
                  <c:v>250000</c:v>
                </c:pt>
                <c:pt idx="423">
                  <c:v>400000</c:v>
                </c:pt>
                <c:pt idx="424">
                  <c:v>375000</c:v>
                </c:pt>
                <c:pt idx="425">
                  <c:v>400000</c:v>
                </c:pt>
                <c:pt idx="426">
                  <c:v>375000</c:v>
                </c:pt>
                <c:pt idx="427">
                  <c:v>250000</c:v>
                </c:pt>
                <c:pt idx="428">
                  <c:v>1800000</c:v>
                </c:pt>
                <c:pt idx="433">
                  <c:v>1400000</c:v>
                </c:pt>
                <c:pt idx="438">
                  <c:v>3000000</c:v>
                </c:pt>
                <c:pt idx="443">
                  <c:v>3000000</c:v>
                </c:pt>
                <c:pt idx="449">
                  <c:v>800000</c:v>
                </c:pt>
                <c:pt idx="451">
                  <c:v>800000</c:v>
                </c:pt>
                <c:pt idx="453">
                  <c:v>1200000</c:v>
                </c:pt>
                <c:pt idx="456">
                  <c:v>4300000</c:v>
                </c:pt>
                <c:pt idx="463">
                  <c:v>600000</c:v>
                </c:pt>
                <c:pt idx="464">
                  <c:v>750000</c:v>
                </c:pt>
                <c:pt idx="466">
                  <c:v>400000</c:v>
                </c:pt>
                <c:pt idx="467">
                  <c:v>1200000</c:v>
                </c:pt>
                <c:pt idx="470">
                  <c:v>750000</c:v>
                </c:pt>
                <c:pt idx="472">
                  <c:v>375000</c:v>
                </c:pt>
                <c:pt idx="473">
                  <c:v>750000</c:v>
                </c:pt>
                <c:pt idx="475">
                  <c:v>1200000</c:v>
                </c:pt>
                <c:pt idx="478">
                  <c:v>750000</c:v>
                </c:pt>
                <c:pt idx="480">
                  <c:v>600000</c:v>
                </c:pt>
                <c:pt idx="481">
                  <c:v>600000</c:v>
                </c:pt>
                <c:pt idx="482">
                  <c:v>600000</c:v>
                </c:pt>
                <c:pt idx="483">
                  <c:v>2500000</c:v>
                </c:pt>
                <c:pt idx="488">
                  <c:v>800000</c:v>
                </c:pt>
                <c:pt idx="490">
                  <c:v>1800000</c:v>
                </c:pt>
                <c:pt idx="494">
                  <c:v>375000</c:v>
                </c:pt>
                <c:pt idx="495">
                  <c:v>2500000</c:v>
                </c:pt>
                <c:pt idx="496">
                  <c:v>600000</c:v>
                </c:pt>
                <c:pt idx="497">
                  <c:v>600000</c:v>
                </c:pt>
                <c:pt idx="498">
                  <c:v>1200000</c:v>
                </c:pt>
                <c:pt idx="502">
                  <c:v>800000</c:v>
                </c:pt>
                <c:pt idx="505">
                  <c:v>400000</c:v>
                </c:pt>
                <c:pt idx="507">
                  <c:v>250000</c:v>
                </c:pt>
                <c:pt idx="508">
                  <c:v>500000</c:v>
                </c:pt>
                <c:pt idx="509">
                  <c:v>1500000</c:v>
                </c:pt>
                <c:pt idx="513">
                  <c:v>500000</c:v>
                </c:pt>
                <c:pt idx="514">
                  <c:v>1600000</c:v>
                </c:pt>
                <c:pt idx="518">
                  <c:v>250000</c:v>
                </c:pt>
                <c:pt idx="519">
                  <c:v>750000</c:v>
                </c:pt>
                <c:pt idx="521">
                  <c:v>750000</c:v>
                </c:pt>
                <c:pt idx="523">
                  <c:v>750000</c:v>
                </c:pt>
                <c:pt idx="525">
                  <c:v>0</c:v>
                </c:pt>
                <c:pt idx="526">
                  <c:v>775000</c:v>
                </c:pt>
                <c:pt idx="528">
                  <c:v>1250000</c:v>
                </c:pt>
                <c:pt idx="529">
                  <c:v>1250000</c:v>
                </c:pt>
                <c:pt idx="530">
                  <c:v>1250000</c:v>
                </c:pt>
                <c:pt idx="531">
                  <c:v>1250000</c:v>
                </c:pt>
                <c:pt idx="532">
                  <c:v>1250000</c:v>
                </c:pt>
                <c:pt idx="533">
                  <c:v>0</c:v>
                </c:pt>
                <c:pt idx="534">
                  <c:v>1800000</c:v>
                </c:pt>
                <c:pt idx="538">
                  <c:v>1500000</c:v>
                </c:pt>
                <c:pt idx="541">
                  <c:v>361250</c:v>
                </c:pt>
                <c:pt idx="542">
                  <c:v>361250</c:v>
                </c:pt>
                <c:pt idx="543">
                  <c:v>361250</c:v>
                </c:pt>
                <c:pt idx="544">
                  <c:v>361250</c:v>
                </c:pt>
                <c:pt idx="545">
                  <c:v>750000</c:v>
                </c:pt>
                <c:pt idx="547">
                  <c:v>750000</c:v>
                </c:pt>
                <c:pt idx="549">
                  <c:v>750000</c:v>
                </c:pt>
                <c:pt idx="551">
                  <c:v>750000</c:v>
                </c:pt>
                <c:pt idx="553">
                  <c:v>800000</c:v>
                </c:pt>
                <c:pt idx="555">
                  <c:v>1200000</c:v>
                </c:pt>
                <c:pt idx="557">
                  <c:v>1200000</c:v>
                </c:pt>
                <c:pt idx="559">
                  <c:v>1500000</c:v>
                </c:pt>
                <c:pt idx="560">
                  <c:v>1500000</c:v>
                </c:pt>
                <c:pt idx="561">
                  <c:v>1500000</c:v>
                </c:pt>
                <c:pt idx="562">
                  <c:v>1500000</c:v>
                </c:pt>
                <c:pt idx="563">
                  <c:v>400000</c:v>
                </c:pt>
                <c:pt idx="564">
                  <c:v>400000</c:v>
                </c:pt>
                <c:pt idx="565">
                  <c:v>2500000</c:v>
                </c:pt>
                <c:pt idx="568">
                  <c:v>750000</c:v>
                </c:pt>
                <c:pt idx="569">
                  <c:v>375000</c:v>
                </c:pt>
                <c:pt idx="570">
                  <c:v>400000</c:v>
                </c:pt>
                <c:pt idx="572">
                  <c:v>400000</c:v>
                </c:pt>
                <c:pt idx="573">
                  <c:v>600000</c:v>
                </c:pt>
                <c:pt idx="574">
                  <c:v>2800000</c:v>
                </c:pt>
                <c:pt idx="578">
                  <c:v>400000</c:v>
                </c:pt>
                <c:pt idx="579">
                  <c:v>2850000</c:v>
                </c:pt>
                <c:pt idx="582">
                  <c:v>400000</c:v>
                </c:pt>
                <c:pt idx="583">
                  <c:v>1500000</c:v>
                </c:pt>
                <c:pt idx="585">
                  <c:v>400000</c:v>
                </c:pt>
                <c:pt idx="586">
                  <c:v>1200000</c:v>
                </c:pt>
                <c:pt idx="591">
                  <c:v>375000</c:v>
                </c:pt>
                <c:pt idx="592">
                  <c:v>500000</c:v>
                </c:pt>
                <c:pt idx="594">
                  <c:v>400000</c:v>
                </c:pt>
                <c:pt idx="595">
                  <c:v>1400000</c:v>
                </c:pt>
                <c:pt idx="599">
                  <c:v>1800000</c:v>
                </c:pt>
                <c:pt idx="603">
                  <c:v>3800000</c:v>
                </c:pt>
                <c:pt idx="607">
                  <c:v>3800000</c:v>
                </c:pt>
                <c:pt idx="611">
                  <c:v>3800000</c:v>
                </c:pt>
                <c:pt idx="615">
                  <c:v>900000</c:v>
                </c:pt>
                <c:pt idx="617">
                  <c:v>500000</c:v>
                </c:pt>
                <c:pt idx="619">
                  <c:v>600000</c:v>
                </c:pt>
                <c:pt idx="620">
                  <c:v>600000</c:v>
                </c:pt>
                <c:pt idx="621">
                  <c:v>600000</c:v>
                </c:pt>
                <c:pt idx="622">
                  <c:v>600000</c:v>
                </c:pt>
                <c:pt idx="623">
                  <c:v>600000</c:v>
                </c:pt>
                <c:pt idx="624">
                  <c:v>600000</c:v>
                </c:pt>
                <c:pt idx="625">
                  <c:v>2100000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13B7-4365-B0FA-4FDEDDB054DA}"/>
            </c:ext>
          </c:extLst>
        </c:ser>
        <c:ser>
          <c:idx val="10"/>
          <c:order val="10"/>
          <c:tx>
            <c:strRef>
              <c:f>Sheet1!$M$1</c:f>
              <c:strCache>
                <c:ptCount val="1"/>
                <c:pt idx="0">
                  <c:v>Gaji Driver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Sheet1!$M$2:$M$629</c:f>
              <c:numCache>
                <c:formatCode>_-"Rp"* #,##0_-;\-"Rp"* #,##0_-;_-"Rp"* "-"??_-;_-@</c:formatCode>
                <c:ptCount val="628"/>
                <c:pt idx="0">
                  <c:v>225000</c:v>
                </c:pt>
                <c:pt idx="1">
                  <c:v>505000</c:v>
                </c:pt>
                <c:pt idx="4">
                  <c:v>225000</c:v>
                </c:pt>
                <c:pt idx="5">
                  <c:v>225000</c:v>
                </c:pt>
                <c:pt idx="6">
                  <c:v>360000</c:v>
                </c:pt>
                <c:pt idx="8">
                  <c:v>225000</c:v>
                </c:pt>
                <c:pt idx="9">
                  <c:v>225000</c:v>
                </c:pt>
                <c:pt idx="10">
                  <c:v>500000</c:v>
                </c:pt>
                <c:pt idx="12">
                  <c:v>500000</c:v>
                </c:pt>
                <c:pt idx="14">
                  <c:v>225000</c:v>
                </c:pt>
                <c:pt idx="15">
                  <c:v>180000</c:v>
                </c:pt>
                <c:pt idx="16">
                  <c:v>360000</c:v>
                </c:pt>
                <c:pt idx="18">
                  <c:v>225000</c:v>
                </c:pt>
                <c:pt idx="19">
                  <c:v>1300000</c:v>
                </c:pt>
                <c:pt idx="25">
                  <c:v>775000</c:v>
                </c:pt>
                <c:pt idx="29">
                  <c:v>675000</c:v>
                </c:pt>
                <c:pt idx="32">
                  <c:v>575000</c:v>
                </c:pt>
                <c:pt idx="35">
                  <c:v>1750000</c:v>
                </c:pt>
                <c:pt idx="40">
                  <c:v>540000</c:v>
                </c:pt>
                <c:pt idx="43">
                  <c:v>630000</c:v>
                </c:pt>
                <c:pt idx="46">
                  <c:v>375001</c:v>
                </c:pt>
                <c:pt idx="51">
                  <c:v>275000</c:v>
                </c:pt>
                <c:pt idx="54">
                  <c:v>200000</c:v>
                </c:pt>
                <c:pt idx="55">
                  <c:v>0</c:v>
                </c:pt>
                <c:pt idx="64">
                  <c:v>900000</c:v>
                </c:pt>
                <c:pt idx="68">
                  <c:v>600000</c:v>
                </c:pt>
                <c:pt idx="72">
                  <c:v>300000</c:v>
                </c:pt>
                <c:pt idx="74">
                  <c:v>225000</c:v>
                </c:pt>
                <c:pt idx="75">
                  <c:v>925000</c:v>
                </c:pt>
                <c:pt idx="79">
                  <c:v>225000</c:v>
                </c:pt>
                <c:pt idx="80">
                  <c:v>630000</c:v>
                </c:pt>
                <c:pt idx="83">
                  <c:v>1000000</c:v>
                </c:pt>
                <c:pt idx="87">
                  <c:v>1000000</c:v>
                </c:pt>
                <c:pt idx="91">
                  <c:v>800000</c:v>
                </c:pt>
                <c:pt idx="95">
                  <c:v>1050000</c:v>
                </c:pt>
                <c:pt idx="98">
                  <c:v>0</c:v>
                </c:pt>
                <c:pt idx="100">
                  <c:v>450000</c:v>
                </c:pt>
                <c:pt idx="102">
                  <c:v>200000</c:v>
                </c:pt>
                <c:pt idx="104">
                  <c:v>500000</c:v>
                </c:pt>
                <c:pt idx="106">
                  <c:v>380000</c:v>
                </c:pt>
                <c:pt idx="109">
                  <c:v>675000</c:v>
                </c:pt>
                <c:pt idx="112">
                  <c:v>180000</c:v>
                </c:pt>
                <c:pt idx="113">
                  <c:v>0</c:v>
                </c:pt>
                <c:pt idx="117">
                  <c:v>200000</c:v>
                </c:pt>
                <c:pt idx="119">
                  <c:v>650000</c:v>
                </c:pt>
                <c:pt idx="121">
                  <c:v>200000</c:v>
                </c:pt>
                <c:pt idx="123">
                  <c:v>675000</c:v>
                </c:pt>
                <c:pt idx="129">
                  <c:v>300000</c:v>
                </c:pt>
                <c:pt idx="133">
                  <c:v>200000</c:v>
                </c:pt>
                <c:pt idx="135">
                  <c:v>180000</c:v>
                </c:pt>
                <c:pt idx="136">
                  <c:v>300000</c:v>
                </c:pt>
                <c:pt idx="137">
                  <c:v>200000</c:v>
                </c:pt>
                <c:pt idx="139">
                  <c:v>360000</c:v>
                </c:pt>
                <c:pt idx="141">
                  <c:v>720000</c:v>
                </c:pt>
                <c:pt idx="145">
                  <c:v>225000</c:v>
                </c:pt>
                <c:pt idx="146">
                  <c:v>225000</c:v>
                </c:pt>
                <c:pt idx="147">
                  <c:v>250000</c:v>
                </c:pt>
                <c:pt idx="148">
                  <c:v>450000</c:v>
                </c:pt>
                <c:pt idx="150">
                  <c:v>225000</c:v>
                </c:pt>
                <c:pt idx="151">
                  <c:v>1350000</c:v>
                </c:pt>
                <c:pt idx="156">
                  <c:v>100000</c:v>
                </c:pt>
                <c:pt idx="157">
                  <c:v>1100000</c:v>
                </c:pt>
                <c:pt idx="161">
                  <c:v>225000</c:v>
                </c:pt>
                <c:pt idx="162">
                  <c:v>250000</c:v>
                </c:pt>
                <c:pt idx="163">
                  <c:v>500000</c:v>
                </c:pt>
                <c:pt idx="165">
                  <c:v>100000</c:v>
                </c:pt>
                <c:pt idx="167">
                  <c:v>225000</c:v>
                </c:pt>
                <c:pt idx="168">
                  <c:v>955000</c:v>
                </c:pt>
                <c:pt idx="173">
                  <c:v>775000</c:v>
                </c:pt>
                <c:pt idx="177">
                  <c:v>675000</c:v>
                </c:pt>
                <c:pt idx="180">
                  <c:v>750000</c:v>
                </c:pt>
                <c:pt idx="183">
                  <c:v>200000</c:v>
                </c:pt>
                <c:pt idx="184">
                  <c:v>0</c:v>
                </c:pt>
                <c:pt idx="190">
                  <c:v>350000</c:v>
                </c:pt>
                <c:pt idx="191">
                  <c:v>225000</c:v>
                </c:pt>
                <c:pt idx="192">
                  <c:v>325000</c:v>
                </c:pt>
                <c:pt idx="194">
                  <c:v>975000</c:v>
                </c:pt>
                <c:pt idx="198">
                  <c:v>2000000</c:v>
                </c:pt>
                <c:pt idx="206">
                  <c:v>450000</c:v>
                </c:pt>
                <c:pt idx="208">
                  <c:v>250000</c:v>
                </c:pt>
                <c:pt idx="209">
                  <c:v>775000</c:v>
                </c:pt>
                <c:pt idx="212">
                  <c:v>250000</c:v>
                </c:pt>
                <c:pt idx="213">
                  <c:v>250000</c:v>
                </c:pt>
                <c:pt idx="214">
                  <c:v>1400000</c:v>
                </c:pt>
                <c:pt idx="218">
                  <c:v>250000</c:v>
                </c:pt>
                <c:pt idx="219">
                  <c:v>0</c:v>
                </c:pt>
                <c:pt idx="220">
                  <c:v>430000</c:v>
                </c:pt>
                <c:pt idx="222">
                  <c:v>300000</c:v>
                </c:pt>
                <c:pt idx="224">
                  <c:v>360000</c:v>
                </c:pt>
                <c:pt idx="226">
                  <c:v>360000</c:v>
                </c:pt>
                <c:pt idx="228">
                  <c:v>540000</c:v>
                </c:pt>
                <c:pt idx="230">
                  <c:v>540000</c:v>
                </c:pt>
                <c:pt idx="232">
                  <c:v>360000</c:v>
                </c:pt>
                <c:pt idx="234">
                  <c:v>540000</c:v>
                </c:pt>
                <c:pt idx="236">
                  <c:v>540000</c:v>
                </c:pt>
                <c:pt idx="238">
                  <c:v>540000</c:v>
                </c:pt>
                <c:pt idx="240">
                  <c:v>540000</c:v>
                </c:pt>
                <c:pt idx="242">
                  <c:v>540000</c:v>
                </c:pt>
                <c:pt idx="244">
                  <c:v>585000</c:v>
                </c:pt>
                <c:pt idx="246">
                  <c:v>540000</c:v>
                </c:pt>
                <c:pt idx="248">
                  <c:v>540000</c:v>
                </c:pt>
                <c:pt idx="250">
                  <c:v>540000</c:v>
                </c:pt>
                <c:pt idx="252">
                  <c:v>675000</c:v>
                </c:pt>
                <c:pt idx="257">
                  <c:v>225000</c:v>
                </c:pt>
                <c:pt idx="258">
                  <c:v>500000</c:v>
                </c:pt>
                <c:pt idx="260">
                  <c:v>675000</c:v>
                </c:pt>
                <c:pt idx="263">
                  <c:v>675000</c:v>
                </c:pt>
                <c:pt idx="266">
                  <c:v>450000</c:v>
                </c:pt>
                <c:pt idx="268">
                  <c:v>225000</c:v>
                </c:pt>
                <c:pt idx="269">
                  <c:v>450000</c:v>
                </c:pt>
                <c:pt idx="272">
                  <c:v>225000</c:v>
                </c:pt>
                <c:pt idx="273">
                  <c:v>775000</c:v>
                </c:pt>
                <c:pt idx="277">
                  <c:v>450000</c:v>
                </c:pt>
                <c:pt idx="279">
                  <c:v>450000</c:v>
                </c:pt>
                <c:pt idx="281">
                  <c:v>450000</c:v>
                </c:pt>
                <c:pt idx="283">
                  <c:v>180000</c:v>
                </c:pt>
                <c:pt idx="284">
                  <c:v>325000</c:v>
                </c:pt>
                <c:pt idx="286">
                  <c:v>280000</c:v>
                </c:pt>
                <c:pt idx="288">
                  <c:v>350000</c:v>
                </c:pt>
                <c:pt idx="289">
                  <c:v>250000</c:v>
                </c:pt>
                <c:pt idx="290">
                  <c:v>360000</c:v>
                </c:pt>
                <c:pt idx="292">
                  <c:v>250000</c:v>
                </c:pt>
                <c:pt idx="293">
                  <c:v>250000</c:v>
                </c:pt>
                <c:pt idx="294">
                  <c:v>225000</c:v>
                </c:pt>
                <c:pt idx="295">
                  <c:v>900000</c:v>
                </c:pt>
                <c:pt idx="299">
                  <c:v>0</c:v>
                </c:pt>
                <c:pt idx="300">
                  <c:v>550000</c:v>
                </c:pt>
                <c:pt idx="303">
                  <c:v>380000</c:v>
                </c:pt>
                <c:pt idx="306">
                  <c:v>540000</c:v>
                </c:pt>
                <c:pt idx="309">
                  <c:v>750000</c:v>
                </c:pt>
                <c:pt idx="311">
                  <c:v>550000</c:v>
                </c:pt>
                <c:pt idx="313">
                  <c:v>225000</c:v>
                </c:pt>
                <c:pt idx="314">
                  <c:v>675000</c:v>
                </c:pt>
                <c:pt idx="317">
                  <c:v>450000</c:v>
                </c:pt>
                <c:pt idx="319">
                  <c:v>450000</c:v>
                </c:pt>
                <c:pt idx="321">
                  <c:v>1150000</c:v>
                </c:pt>
                <c:pt idx="327">
                  <c:v>225000</c:v>
                </c:pt>
                <c:pt idx="328">
                  <c:v>180000</c:v>
                </c:pt>
                <c:pt idx="329">
                  <c:v>180000</c:v>
                </c:pt>
                <c:pt idx="330">
                  <c:v>250000</c:v>
                </c:pt>
                <c:pt idx="331">
                  <c:v>250000</c:v>
                </c:pt>
                <c:pt idx="332">
                  <c:v>0</c:v>
                </c:pt>
                <c:pt idx="333">
                  <c:v>250000</c:v>
                </c:pt>
                <c:pt idx="334">
                  <c:v>250000</c:v>
                </c:pt>
                <c:pt idx="335">
                  <c:v>0</c:v>
                </c:pt>
                <c:pt idx="336">
                  <c:v>450000</c:v>
                </c:pt>
                <c:pt idx="338">
                  <c:v>450000</c:v>
                </c:pt>
                <c:pt idx="340">
                  <c:v>200000</c:v>
                </c:pt>
                <c:pt idx="342">
                  <c:v>750000</c:v>
                </c:pt>
                <c:pt idx="344">
                  <c:v>225000</c:v>
                </c:pt>
                <c:pt idx="345">
                  <c:v>225000</c:v>
                </c:pt>
                <c:pt idx="346">
                  <c:v>225000</c:v>
                </c:pt>
                <c:pt idx="347">
                  <c:v>225000</c:v>
                </c:pt>
                <c:pt idx="348">
                  <c:v>125000</c:v>
                </c:pt>
                <c:pt idx="349">
                  <c:v>250000</c:v>
                </c:pt>
                <c:pt idx="350">
                  <c:v>225000</c:v>
                </c:pt>
                <c:pt idx="351">
                  <c:v>225000</c:v>
                </c:pt>
                <c:pt idx="352">
                  <c:v>180000</c:v>
                </c:pt>
                <c:pt idx="353">
                  <c:v>275000</c:v>
                </c:pt>
                <c:pt idx="354">
                  <c:v>175000</c:v>
                </c:pt>
                <c:pt idx="355">
                  <c:v>175000</c:v>
                </c:pt>
                <c:pt idx="356">
                  <c:v>500000</c:v>
                </c:pt>
                <c:pt idx="358">
                  <c:v>250000</c:v>
                </c:pt>
                <c:pt idx="359">
                  <c:v>225000</c:v>
                </c:pt>
                <c:pt idx="360">
                  <c:v>360000</c:v>
                </c:pt>
                <c:pt idx="362">
                  <c:v>540000</c:v>
                </c:pt>
                <c:pt idx="365">
                  <c:v>540000</c:v>
                </c:pt>
                <c:pt idx="368">
                  <c:v>675000</c:v>
                </c:pt>
                <c:pt idx="371">
                  <c:v>825000</c:v>
                </c:pt>
                <c:pt idx="375">
                  <c:v>250000</c:v>
                </c:pt>
                <c:pt idx="376">
                  <c:v>375000</c:v>
                </c:pt>
                <c:pt idx="378">
                  <c:v>225000</c:v>
                </c:pt>
                <c:pt idx="379">
                  <c:v>225000</c:v>
                </c:pt>
                <c:pt idx="380">
                  <c:v>360000</c:v>
                </c:pt>
                <c:pt idx="382">
                  <c:v>360001</c:v>
                </c:pt>
                <c:pt idx="384">
                  <c:v>450000</c:v>
                </c:pt>
                <c:pt idx="386">
                  <c:v>180000</c:v>
                </c:pt>
                <c:pt idx="387">
                  <c:v>180000</c:v>
                </c:pt>
                <c:pt idx="388">
                  <c:v>200000</c:v>
                </c:pt>
                <c:pt idx="389">
                  <c:v>1325000</c:v>
                </c:pt>
                <c:pt idx="395">
                  <c:v>700000</c:v>
                </c:pt>
                <c:pt idx="398">
                  <c:v>900000</c:v>
                </c:pt>
                <c:pt idx="402">
                  <c:v>200000</c:v>
                </c:pt>
                <c:pt idx="403">
                  <c:v>200000</c:v>
                </c:pt>
                <c:pt idx="404">
                  <c:v>200000</c:v>
                </c:pt>
                <c:pt idx="406">
                  <c:v>0</c:v>
                </c:pt>
                <c:pt idx="408">
                  <c:v>600000</c:v>
                </c:pt>
                <c:pt idx="411">
                  <c:v>225000</c:v>
                </c:pt>
                <c:pt idx="412">
                  <c:v>800000</c:v>
                </c:pt>
                <c:pt idx="415">
                  <c:v>500000</c:v>
                </c:pt>
                <c:pt idx="417">
                  <c:v>600000</c:v>
                </c:pt>
                <c:pt idx="419">
                  <c:v>250000</c:v>
                </c:pt>
                <c:pt idx="420">
                  <c:v>200000</c:v>
                </c:pt>
                <c:pt idx="421">
                  <c:v>275000</c:v>
                </c:pt>
                <c:pt idx="422">
                  <c:v>125000</c:v>
                </c:pt>
                <c:pt idx="423">
                  <c:v>225000</c:v>
                </c:pt>
                <c:pt idx="424">
                  <c:v>200000</c:v>
                </c:pt>
                <c:pt idx="425">
                  <c:v>225000</c:v>
                </c:pt>
                <c:pt idx="426">
                  <c:v>225000</c:v>
                </c:pt>
                <c:pt idx="427">
                  <c:v>175000</c:v>
                </c:pt>
                <c:pt idx="428">
                  <c:v>1075000</c:v>
                </c:pt>
                <c:pt idx="433">
                  <c:v>975000</c:v>
                </c:pt>
                <c:pt idx="438">
                  <c:v>1250000</c:v>
                </c:pt>
                <c:pt idx="443">
                  <c:v>1325000</c:v>
                </c:pt>
                <c:pt idx="449">
                  <c:v>450000</c:v>
                </c:pt>
                <c:pt idx="451">
                  <c:v>450000</c:v>
                </c:pt>
                <c:pt idx="453">
                  <c:v>675000</c:v>
                </c:pt>
                <c:pt idx="456">
                  <c:v>1975000</c:v>
                </c:pt>
                <c:pt idx="463">
                  <c:v>250000</c:v>
                </c:pt>
                <c:pt idx="464">
                  <c:v>450000</c:v>
                </c:pt>
                <c:pt idx="466">
                  <c:v>225000</c:v>
                </c:pt>
                <c:pt idx="467">
                  <c:v>675000</c:v>
                </c:pt>
                <c:pt idx="470">
                  <c:v>450000</c:v>
                </c:pt>
                <c:pt idx="472">
                  <c:v>225000</c:v>
                </c:pt>
                <c:pt idx="473">
                  <c:v>450000</c:v>
                </c:pt>
                <c:pt idx="475">
                  <c:v>675000</c:v>
                </c:pt>
                <c:pt idx="478">
                  <c:v>450000</c:v>
                </c:pt>
                <c:pt idx="480">
                  <c:v>250000</c:v>
                </c:pt>
                <c:pt idx="481">
                  <c:v>250000</c:v>
                </c:pt>
                <c:pt idx="482">
                  <c:v>250000</c:v>
                </c:pt>
                <c:pt idx="483">
                  <c:v>1250000</c:v>
                </c:pt>
                <c:pt idx="488">
                  <c:v>450000</c:v>
                </c:pt>
                <c:pt idx="490">
                  <c:v>1000000</c:v>
                </c:pt>
                <c:pt idx="494">
                  <c:v>225000</c:v>
                </c:pt>
                <c:pt idx="495">
                  <c:v>250000</c:v>
                </c:pt>
                <c:pt idx="496">
                  <c:v>250000</c:v>
                </c:pt>
                <c:pt idx="497">
                  <c:v>250000</c:v>
                </c:pt>
                <c:pt idx="498">
                  <c:v>900000</c:v>
                </c:pt>
                <c:pt idx="502">
                  <c:v>600000</c:v>
                </c:pt>
                <c:pt idx="505">
                  <c:v>200000</c:v>
                </c:pt>
                <c:pt idx="507">
                  <c:v>0</c:v>
                </c:pt>
                <c:pt idx="508">
                  <c:v>275000</c:v>
                </c:pt>
                <c:pt idx="509">
                  <c:v>900000</c:v>
                </c:pt>
                <c:pt idx="513">
                  <c:v>0</c:v>
                </c:pt>
                <c:pt idx="514">
                  <c:v>775000</c:v>
                </c:pt>
                <c:pt idx="518">
                  <c:v>100000</c:v>
                </c:pt>
                <c:pt idx="519">
                  <c:v>475000</c:v>
                </c:pt>
                <c:pt idx="521">
                  <c:v>450000</c:v>
                </c:pt>
                <c:pt idx="523">
                  <c:v>450000</c:v>
                </c:pt>
                <c:pt idx="525">
                  <c:v>100000</c:v>
                </c:pt>
                <c:pt idx="526">
                  <c:v>450000</c:v>
                </c:pt>
                <c:pt idx="528">
                  <c:v>300000</c:v>
                </c:pt>
                <c:pt idx="529">
                  <c:v>300000</c:v>
                </c:pt>
                <c:pt idx="530">
                  <c:v>300000</c:v>
                </c:pt>
                <c:pt idx="531">
                  <c:v>300000</c:v>
                </c:pt>
                <c:pt idx="532">
                  <c:v>300000</c:v>
                </c:pt>
                <c:pt idx="533">
                  <c:v>100000</c:v>
                </c:pt>
                <c:pt idx="534">
                  <c:v>1000000</c:v>
                </c:pt>
                <c:pt idx="538">
                  <c:v>540000</c:v>
                </c:pt>
                <c:pt idx="541">
                  <c:v>175000</c:v>
                </c:pt>
                <c:pt idx="542">
                  <c:v>175000</c:v>
                </c:pt>
                <c:pt idx="543">
                  <c:v>175000</c:v>
                </c:pt>
                <c:pt idx="544">
                  <c:v>175000</c:v>
                </c:pt>
                <c:pt idx="545">
                  <c:v>450000</c:v>
                </c:pt>
                <c:pt idx="547">
                  <c:v>500000</c:v>
                </c:pt>
                <c:pt idx="549">
                  <c:v>500000</c:v>
                </c:pt>
                <c:pt idx="551">
                  <c:v>500000</c:v>
                </c:pt>
                <c:pt idx="553">
                  <c:v>500000</c:v>
                </c:pt>
                <c:pt idx="555">
                  <c:v>500000</c:v>
                </c:pt>
                <c:pt idx="557">
                  <c:v>500000</c:v>
                </c:pt>
                <c:pt idx="559">
                  <c:v>300000</c:v>
                </c:pt>
                <c:pt idx="560">
                  <c:v>300000</c:v>
                </c:pt>
                <c:pt idx="561">
                  <c:v>300000</c:v>
                </c:pt>
                <c:pt idx="562">
                  <c:v>300000</c:v>
                </c:pt>
                <c:pt idx="563">
                  <c:v>250000</c:v>
                </c:pt>
                <c:pt idx="564">
                  <c:v>250000</c:v>
                </c:pt>
                <c:pt idx="565">
                  <c:v>750000</c:v>
                </c:pt>
                <c:pt idx="568">
                  <c:v>300000</c:v>
                </c:pt>
                <c:pt idx="569">
                  <c:v>180000</c:v>
                </c:pt>
                <c:pt idx="570">
                  <c:v>200000</c:v>
                </c:pt>
                <c:pt idx="572">
                  <c:v>225000</c:v>
                </c:pt>
                <c:pt idx="573">
                  <c:v>250000</c:v>
                </c:pt>
                <c:pt idx="574">
                  <c:v>950000</c:v>
                </c:pt>
                <c:pt idx="578">
                  <c:v>225000</c:v>
                </c:pt>
                <c:pt idx="579">
                  <c:v>1350000</c:v>
                </c:pt>
                <c:pt idx="582">
                  <c:v>225000</c:v>
                </c:pt>
                <c:pt idx="583">
                  <c:v>500000</c:v>
                </c:pt>
                <c:pt idx="585">
                  <c:v>350000</c:v>
                </c:pt>
                <c:pt idx="586">
                  <c:v>680000</c:v>
                </c:pt>
                <c:pt idx="591">
                  <c:v>0</c:v>
                </c:pt>
                <c:pt idx="592">
                  <c:v>450000</c:v>
                </c:pt>
                <c:pt idx="594">
                  <c:v>200000</c:v>
                </c:pt>
                <c:pt idx="595">
                  <c:v>730000</c:v>
                </c:pt>
                <c:pt idx="599">
                  <c:v>1600000</c:v>
                </c:pt>
                <c:pt idx="603">
                  <c:v>1800000</c:v>
                </c:pt>
                <c:pt idx="607">
                  <c:v>1800000</c:v>
                </c:pt>
                <c:pt idx="611">
                  <c:v>1800000</c:v>
                </c:pt>
                <c:pt idx="615">
                  <c:v>600000</c:v>
                </c:pt>
                <c:pt idx="617">
                  <c:v>360000</c:v>
                </c:pt>
                <c:pt idx="619">
                  <c:v>250000</c:v>
                </c:pt>
                <c:pt idx="620">
                  <c:v>250000</c:v>
                </c:pt>
                <c:pt idx="621">
                  <c:v>250000</c:v>
                </c:pt>
                <c:pt idx="622">
                  <c:v>250000</c:v>
                </c:pt>
                <c:pt idx="623">
                  <c:v>250000</c:v>
                </c:pt>
                <c:pt idx="624">
                  <c:v>250000</c:v>
                </c:pt>
                <c:pt idx="625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B7-4365-B0FA-4FDEDDB054DA}"/>
            </c:ext>
          </c:extLst>
        </c:ser>
        <c:ser>
          <c:idx val="11"/>
          <c:order val="11"/>
          <c:tx>
            <c:strRef>
              <c:f>Sheet1!$N$1</c:f>
              <c:strCache>
                <c:ptCount val="1"/>
                <c:pt idx="0">
                  <c:v>Biaya BBM(Rp)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Sheet1!$N$2:$N$629</c:f>
              <c:numCache>
                <c:formatCode>_-"Rp"* #,##0_-;\-"Rp"* #,##0_-;_-"Rp"* "-"??_-;_-@</c:formatCode>
                <c:ptCount val="628"/>
                <c:pt idx="0">
                  <c:v>220000</c:v>
                </c:pt>
                <c:pt idx="1">
                  <c:v>270000</c:v>
                </c:pt>
                <c:pt idx="4">
                  <c:v>90000</c:v>
                </c:pt>
                <c:pt idx="5">
                  <c:v>170000</c:v>
                </c:pt>
                <c:pt idx="6">
                  <c:v>190000</c:v>
                </c:pt>
                <c:pt idx="8">
                  <c:v>100000</c:v>
                </c:pt>
                <c:pt idx="9">
                  <c:v>100000</c:v>
                </c:pt>
                <c:pt idx="10">
                  <c:v>236000</c:v>
                </c:pt>
                <c:pt idx="12">
                  <c:v>270000</c:v>
                </c:pt>
                <c:pt idx="14">
                  <c:v>100000</c:v>
                </c:pt>
                <c:pt idx="15">
                  <c:v>100000</c:v>
                </c:pt>
                <c:pt idx="16">
                  <c:v>158000</c:v>
                </c:pt>
                <c:pt idx="18">
                  <c:v>160000</c:v>
                </c:pt>
                <c:pt idx="19">
                  <c:v>402000</c:v>
                </c:pt>
                <c:pt idx="25">
                  <c:v>371000</c:v>
                </c:pt>
                <c:pt idx="29">
                  <c:v>175000</c:v>
                </c:pt>
                <c:pt idx="32">
                  <c:v>250000</c:v>
                </c:pt>
                <c:pt idx="35">
                  <c:v>998000</c:v>
                </c:pt>
                <c:pt idx="40">
                  <c:v>300000</c:v>
                </c:pt>
                <c:pt idx="43">
                  <c:v>400000</c:v>
                </c:pt>
                <c:pt idx="46">
                  <c:v>469000</c:v>
                </c:pt>
                <c:pt idx="51">
                  <c:v>372000</c:v>
                </c:pt>
                <c:pt idx="54">
                  <c:v>86000</c:v>
                </c:pt>
                <c:pt idx="55">
                  <c:v>0</c:v>
                </c:pt>
                <c:pt idx="64">
                  <c:v>390000</c:v>
                </c:pt>
                <c:pt idx="68">
                  <c:v>210000</c:v>
                </c:pt>
                <c:pt idx="72">
                  <c:v>190000</c:v>
                </c:pt>
                <c:pt idx="74">
                  <c:v>120000</c:v>
                </c:pt>
                <c:pt idx="75">
                  <c:v>820000</c:v>
                </c:pt>
                <c:pt idx="79">
                  <c:v>210000</c:v>
                </c:pt>
                <c:pt idx="80">
                  <c:v>200000</c:v>
                </c:pt>
                <c:pt idx="83">
                  <c:v>445000</c:v>
                </c:pt>
                <c:pt idx="87">
                  <c:v>650000</c:v>
                </c:pt>
                <c:pt idx="91">
                  <c:v>500000</c:v>
                </c:pt>
                <c:pt idx="95">
                  <c:v>735000</c:v>
                </c:pt>
                <c:pt idx="98">
                  <c:v>0</c:v>
                </c:pt>
                <c:pt idx="100">
                  <c:v>220000</c:v>
                </c:pt>
                <c:pt idx="102">
                  <c:v>68000</c:v>
                </c:pt>
                <c:pt idx="104">
                  <c:v>450000</c:v>
                </c:pt>
                <c:pt idx="106">
                  <c:v>150000</c:v>
                </c:pt>
                <c:pt idx="109">
                  <c:v>375000</c:v>
                </c:pt>
                <c:pt idx="112">
                  <c:v>0</c:v>
                </c:pt>
                <c:pt idx="113">
                  <c:v>0</c:v>
                </c:pt>
                <c:pt idx="117">
                  <c:v>90000</c:v>
                </c:pt>
                <c:pt idx="119">
                  <c:v>500000</c:v>
                </c:pt>
                <c:pt idx="121">
                  <c:v>0</c:v>
                </c:pt>
                <c:pt idx="123">
                  <c:v>300000</c:v>
                </c:pt>
                <c:pt idx="129">
                  <c:v>325000</c:v>
                </c:pt>
                <c:pt idx="133">
                  <c:v>75000</c:v>
                </c:pt>
                <c:pt idx="135">
                  <c:v>120000</c:v>
                </c:pt>
                <c:pt idx="136">
                  <c:v>390000</c:v>
                </c:pt>
                <c:pt idx="137">
                  <c:v>0</c:v>
                </c:pt>
                <c:pt idx="139">
                  <c:v>240000</c:v>
                </c:pt>
                <c:pt idx="141">
                  <c:v>259000</c:v>
                </c:pt>
                <c:pt idx="145">
                  <c:v>200000</c:v>
                </c:pt>
                <c:pt idx="146">
                  <c:v>150000</c:v>
                </c:pt>
                <c:pt idx="147">
                  <c:v>200000</c:v>
                </c:pt>
                <c:pt idx="148">
                  <c:v>185000</c:v>
                </c:pt>
                <c:pt idx="150">
                  <c:v>210000</c:v>
                </c:pt>
                <c:pt idx="151">
                  <c:v>1164000</c:v>
                </c:pt>
                <c:pt idx="156">
                  <c:v>80000</c:v>
                </c:pt>
                <c:pt idx="157" formatCode="_-&quot;Rp&quot;* #,##0_-;\-&quot;Rp&quot;* #,##0_-;_-&quot;Rp&quot;* &quot;-&quot;_-;_-@">
                  <c:v>424000</c:v>
                </c:pt>
                <c:pt idx="161">
                  <c:v>200000</c:v>
                </c:pt>
                <c:pt idx="162">
                  <c:v>300000</c:v>
                </c:pt>
                <c:pt idx="163">
                  <c:v>300000</c:v>
                </c:pt>
                <c:pt idx="165">
                  <c:v>0</c:v>
                </c:pt>
                <c:pt idx="167">
                  <c:v>200000</c:v>
                </c:pt>
                <c:pt idx="168">
                  <c:v>300000</c:v>
                </c:pt>
                <c:pt idx="173">
                  <c:v>250000</c:v>
                </c:pt>
                <c:pt idx="177">
                  <c:v>200000</c:v>
                </c:pt>
                <c:pt idx="180">
                  <c:v>280000</c:v>
                </c:pt>
                <c:pt idx="183">
                  <c:v>130000</c:v>
                </c:pt>
                <c:pt idx="184">
                  <c:v>0</c:v>
                </c:pt>
                <c:pt idx="190">
                  <c:v>677000</c:v>
                </c:pt>
                <c:pt idx="191">
                  <c:v>235000</c:v>
                </c:pt>
                <c:pt idx="192">
                  <c:v>250000</c:v>
                </c:pt>
                <c:pt idx="194">
                  <c:v>750000</c:v>
                </c:pt>
                <c:pt idx="198">
                  <c:v>1052000</c:v>
                </c:pt>
                <c:pt idx="206">
                  <c:v>280000</c:v>
                </c:pt>
                <c:pt idx="208">
                  <c:v>300000</c:v>
                </c:pt>
                <c:pt idx="209">
                  <c:v>460000</c:v>
                </c:pt>
                <c:pt idx="212">
                  <c:v>330000</c:v>
                </c:pt>
                <c:pt idx="213">
                  <c:v>250000</c:v>
                </c:pt>
                <c:pt idx="214">
                  <c:v>1347000</c:v>
                </c:pt>
                <c:pt idx="218">
                  <c:v>220000</c:v>
                </c:pt>
                <c:pt idx="219">
                  <c:v>0</c:v>
                </c:pt>
                <c:pt idx="220">
                  <c:v>355000</c:v>
                </c:pt>
                <c:pt idx="222">
                  <c:v>0</c:v>
                </c:pt>
                <c:pt idx="224">
                  <c:v>150000</c:v>
                </c:pt>
                <c:pt idx="226">
                  <c:v>165000</c:v>
                </c:pt>
                <c:pt idx="228">
                  <c:v>290000</c:v>
                </c:pt>
                <c:pt idx="230">
                  <c:v>238000</c:v>
                </c:pt>
                <c:pt idx="232">
                  <c:v>150000</c:v>
                </c:pt>
                <c:pt idx="234">
                  <c:v>240000</c:v>
                </c:pt>
                <c:pt idx="236">
                  <c:v>200000</c:v>
                </c:pt>
                <c:pt idx="238">
                  <c:v>270000</c:v>
                </c:pt>
                <c:pt idx="240">
                  <c:v>300000</c:v>
                </c:pt>
                <c:pt idx="242">
                  <c:v>250000</c:v>
                </c:pt>
                <c:pt idx="244">
                  <c:v>230000</c:v>
                </c:pt>
                <c:pt idx="246">
                  <c:v>50000</c:v>
                </c:pt>
                <c:pt idx="248">
                  <c:v>150000</c:v>
                </c:pt>
                <c:pt idx="250">
                  <c:v>150000</c:v>
                </c:pt>
                <c:pt idx="252">
                  <c:v>615000</c:v>
                </c:pt>
                <c:pt idx="257">
                  <c:v>150000</c:v>
                </c:pt>
                <c:pt idx="258">
                  <c:v>250000</c:v>
                </c:pt>
                <c:pt idx="260">
                  <c:v>310000</c:v>
                </c:pt>
                <c:pt idx="263">
                  <c:v>150000</c:v>
                </c:pt>
                <c:pt idx="266">
                  <c:v>200000</c:v>
                </c:pt>
                <c:pt idx="268">
                  <c:v>200000</c:v>
                </c:pt>
                <c:pt idx="269">
                  <c:v>100000</c:v>
                </c:pt>
                <c:pt idx="272">
                  <c:v>100000</c:v>
                </c:pt>
                <c:pt idx="273">
                  <c:v>200000</c:v>
                </c:pt>
                <c:pt idx="277">
                  <c:v>150000</c:v>
                </c:pt>
                <c:pt idx="279">
                  <c:v>210000</c:v>
                </c:pt>
                <c:pt idx="281">
                  <c:v>150000</c:v>
                </c:pt>
                <c:pt idx="283">
                  <c:v>100000</c:v>
                </c:pt>
                <c:pt idx="284">
                  <c:v>100000</c:v>
                </c:pt>
                <c:pt idx="286">
                  <c:v>100000</c:v>
                </c:pt>
                <c:pt idx="288">
                  <c:v>380000</c:v>
                </c:pt>
                <c:pt idx="289">
                  <c:v>210000</c:v>
                </c:pt>
                <c:pt idx="290">
                  <c:v>250000</c:v>
                </c:pt>
                <c:pt idx="292">
                  <c:v>250000</c:v>
                </c:pt>
                <c:pt idx="293">
                  <c:v>130000</c:v>
                </c:pt>
                <c:pt idx="294">
                  <c:v>133000</c:v>
                </c:pt>
                <c:pt idx="295">
                  <c:v>530000</c:v>
                </c:pt>
                <c:pt idx="299">
                  <c:v>0</c:v>
                </c:pt>
                <c:pt idx="300">
                  <c:v>317000</c:v>
                </c:pt>
                <c:pt idx="303">
                  <c:v>150000</c:v>
                </c:pt>
                <c:pt idx="306">
                  <c:v>240000</c:v>
                </c:pt>
                <c:pt idx="309">
                  <c:v>714000</c:v>
                </c:pt>
                <c:pt idx="311">
                  <c:v>390000</c:v>
                </c:pt>
                <c:pt idx="313">
                  <c:v>230000</c:v>
                </c:pt>
                <c:pt idx="314">
                  <c:v>203000</c:v>
                </c:pt>
                <c:pt idx="317">
                  <c:v>190000</c:v>
                </c:pt>
                <c:pt idx="319">
                  <c:v>192000</c:v>
                </c:pt>
                <c:pt idx="321">
                  <c:v>530000</c:v>
                </c:pt>
                <c:pt idx="327">
                  <c:v>250000</c:v>
                </c:pt>
                <c:pt idx="328">
                  <c:v>140000</c:v>
                </c:pt>
                <c:pt idx="329">
                  <c:v>45000</c:v>
                </c:pt>
                <c:pt idx="330">
                  <c:v>200000</c:v>
                </c:pt>
                <c:pt idx="331">
                  <c:v>0</c:v>
                </c:pt>
                <c:pt idx="332">
                  <c:v>0</c:v>
                </c:pt>
                <c:pt idx="333">
                  <c:v>200000</c:v>
                </c:pt>
                <c:pt idx="334">
                  <c:v>165000</c:v>
                </c:pt>
                <c:pt idx="335">
                  <c:v>0</c:v>
                </c:pt>
                <c:pt idx="336">
                  <c:v>200000</c:v>
                </c:pt>
                <c:pt idx="338">
                  <c:v>175000</c:v>
                </c:pt>
                <c:pt idx="340">
                  <c:v>0</c:v>
                </c:pt>
                <c:pt idx="342">
                  <c:v>747000</c:v>
                </c:pt>
                <c:pt idx="344">
                  <c:v>125000</c:v>
                </c:pt>
                <c:pt idx="345">
                  <c:v>168000</c:v>
                </c:pt>
                <c:pt idx="346">
                  <c:v>100000</c:v>
                </c:pt>
                <c:pt idx="347">
                  <c:v>175000</c:v>
                </c:pt>
                <c:pt idx="348">
                  <c:v>130000</c:v>
                </c:pt>
                <c:pt idx="349">
                  <c:v>300000</c:v>
                </c:pt>
                <c:pt idx="350">
                  <c:v>113000</c:v>
                </c:pt>
                <c:pt idx="351">
                  <c:v>99000</c:v>
                </c:pt>
                <c:pt idx="352">
                  <c:v>166000</c:v>
                </c:pt>
                <c:pt idx="353">
                  <c:v>150000</c:v>
                </c:pt>
                <c:pt idx="354">
                  <c:v>0</c:v>
                </c:pt>
                <c:pt idx="355">
                  <c:v>50000</c:v>
                </c:pt>
                <c:pt idx="356">
                  <c:v>300000</c:v>
                </c:pt>
                <c:pt idx="358">
                  <c:v>200000</c:v>
                </c:pt>
                <c:pt idx="359">
                  <c:v>150000</c:v>
                </c:pt>
                <c:pt idx="360">
                  <c:v>50000</c:v>
                </c:pt>
                <c:pt idx="362">
                  <c:v>118000</c:v>
                </c:pt>
                <c:pt idx="365">
                  <c:v>313000</c:v>
                </c:pt>
                <c:pt idx="368">
                  <c:v>300000</c:v>
                </c:pt>
                <c:pt idx="371">
                  <c:v>585000</c:v>
                </c:pt>
                <c:pt idx="375">
                  <c:v>250000</c:v>
                </c:pt>
                <c:pt idx="376">
                  <c:v>170000</c:v>
                </c:pt>
                <c:pt idx="378">
                  <c:v>215000</c:v>
                </c:pt>
                <c:pt idx="379">
                  <c:v>150000</c:v>
                </c:pt>
                <c:pt idx="380">
                  <c:v>130000</c:v>
                </c:pt>
                <c:pt idx="382">
                  <c:v>170000</c:v>
                </c:pt>
                <c:pt idx="384">
                  <c:v>274000</c:v>
                </c:pt>
                <c:pt idx="386">
                  <c:v>60000</c:v>
                </c:pt>
                <c:pt idx="387">
                  <c:v>50000</c:v>
                </c:pt>
                <c:pt idx="388">
                  <c:v>100000</c:v>
                </c:pt>
                <c:pt idx="389">
                  <c:v>1108000</c:v>
                </c:pt>
                <c:pt idx="395">
                  <c:v>375000</c:v>
                </c:pt>
                <c:pt idx="398">
                  <c:v>575000</c:v>
                </c:pt>
                <c:pt idx="402">
                  <c:v>75000</c:v>
                </c:pt>
                <c:pt idx="403">
                  <c:v>75000</c:v>
                </c:pt>
                <c:pt idx="404">
                  <c:v>0</c:v>
                </c:pt>
                <c:pt idx="408">
                  <c:v>450000</c:v>
                </c:pt>
                <c:pt idx="411">
                  <c:v>200000</c:v>
                </c:pt>
                <c:pt idx="412">
                  <c:v>295000</c:v>
                </c:pt>
                <c:pt idx="415">
                  <c:v>300000</c:v>
                </c:pt>
                <c:pt idx="417">
                  <c:v>350000</c:v>
                </c:pt>
                <c:pt idx="419">
                  <c:v>0</c:v>
                </c:pt>
                <c:pt idx="420">
                  <c:v>236000</c:v>
                </c:pt>
                <c:pt idx="421">
                  <c:v>308000</c:v>
                </c:pt>
                <c:pt idx="422">
                  <c:v>50000</c:v>
                </c:pt>
                <c:pt idx="423">
                  <c:v>235000</c:v>
                </c:pt>
                <c:pt idx="424">
                  <c:v>83000</c:v>
                </c:pt>
                <c:pt idx="425">
                  <c:v>100000</c:v>
                </c:pt>
                <c:pt idx="426">
                  <c:v>135000</c:v>
                </c:pt>
                <c:pt idx="427">
                  <c:v>170000</c:v>
                </c:pt>
                <c:pt idx="428">
                  <c:v>648000</c:v>
                </c:pt>
                <c:pt idx="433">
                  <c:v>465000</c:v>
                </c:pt>
                <c:pt idx="438">
                  <c:v>420000</c:v>
                </c:pt>
                <c:pt idx="443">
                  <c:v>501000</c:v>
                </c:pt>
                <c:pt idx="449">
                  <c:v>150000</c:v>
                </c:pt>
                <c:pt idx="451">
                  <c:v>150000</c:v>
                </c:pt>
                <c:pt idx="453">
                  <c:v>300000</c:v>
                </c:pt>
                <c:pt idx="456">
                  <c:v>1243000</c:v>
                </c:pt>
                <c:pt idx="463">
                  <c:v>220000</c:v>
                </c:pt>
                <c:pt idx="464">
                  <c:v>175000</c:v>
                </c:pt>
                <c:pt idx="466">
                  <c:v>125000</c:v>
                </c:pt>
                <c:pt idx="467">
                  <c:v>274000</c:v>
                </c:pt>
                <c:pt idx="470">
                  <c:v>200000</c:v>
                </c:pt>
                <c:pt idx="472">
                  <c:v>150000</c:v>
                </c:pt>
                <c:pt idx="473">
                  <c:v>235000</c:v>
                </c:pt>
                <c:pt idx="475">
                  <c:v>234000</c:v>
                </c:pt>
                <c:pt idx="478">
                  <c:v>195000</c:v>
                </c:pt>
                <c:pt idx="480">
                  <c:v>200000</c:v>
                </c:pt>
                <c:pt idx="481">
                  <c:v>175000</c:v>
                </c:pt>
                <c:pt idx="482">
                  <c:v>200000</c:v>
                </c:pt>
                <c:pt idx="483">
                  <c:v>735000</c:v>
                </c:pt>
                <c:pt idx="488">
                  <c:v>310000</c:v>
                </c:pt>
                <c:pt idx="490">
                  <c:v>477000</c:v>
                </c:pt>
                <c:pt idx="494">
                  <c:v>225000</c:v>
                </c:pt>
                <c:pt idx="495">
                  <c:v>0</c:v>
                </c:pt>
                <c:pt idx="496">
                  <c:v>175000</c:v>
                </c:pt>
                <c:pt idx="497">
                  <c:v>150000</c:v>
                </c:pt>
                <c:pt idx="498">
                  <c:v>550000</c:v>
                </c:pt>
                <c:pt idx="502">
                  <c:v>415000</c:v>
                </c:pt>
                <c:pt idx="505">
                  <c:v>40000</c:v>
                </c:pt>
                <c:pt idx="508">
                  <c:v>414000</c:v>
                </c:pt>
                <c:pt idx="509">
                  <c:v>320000</c:v>
                </c:pt>
                <c:pt idx="514">
                  <c:v>180000</c:v>
                </c:pt>
                <c:pt idx="518">
                  <c:v>0</c:v>
                </c:pt>
                <c:pt idx="519">
                  <c:v>280000</c:v>
                </c:pt>
                <c:pt idx="521">
                  <c:v>191000</c:v>
                </c:pt>
                <c:pt idx="523">
                  <c:v>300000</c:v>
                </c:pt>
                <c:pt idx="525">
                  <c:v>0</c:v>
                </c:pt>
                <c:pt idx="526">
                  <c:v>352000</c:v>
                </c:pt>
                <c:pt idx="528">
                  <c:v>233340</c:v>
                </c:pt>
                <c:pt idx="529">
                  <c:v>233340</c:v>
                </c:pt>
                <c:pt idx="530">
                  <c:v>233340</c:v>
                </c:pt>
                <c:pt idx="531">
                  <c:v>233340</c:v>
                </c:pt>
                <c:pt idx="532">
                  <c:v>233340</c:v>
                </c:pt>
                <c:pt idx="533">
                  <c:v>0</c:v>
                </c:pt>
                <c:pt idx="534">
                  <c:v>532000</c:v>
                </c:pt>
                <c:pt idx="538">
                  <c:v>200000</c:v>
                </c:pt>
                <c:pt idx="541">
                  <c:v>38750</c:v>
                </c:pt>
                <c:pt idx="542">
                  <c:v>38750</c:v>
                </c:pt>
                <c:pt idx="543">
                  <c:v>38750</c:v>
                </c:pt>
                <c:pt idx="544">
                  <c:v>38750</c:v>
                </c:pt>
                <c:pt idx="545">
                  <c:v>275000</c:v>
                </c:pt>
                <c:pt idx="547">
                  <c:v>330000</c:v>
                </c:pt>
                <c:pt idx="549">
                  <c:v>275000</c:v>
                </c:pt>
                <c:pt idx="551">
                  <c:v>250000</c:v>
                </c:pt>
                <c:pt idx="553">
                  <c:v>255000</c:v>
                </c:pt>
                <c:pt idx="555">
                  <c:v>325000</c:v>
                </c:pt>
                <c:pt idx="557">
                  <c:v>435000</c:v>
                </c:pt>
                <c:pt idx="559">
                  <c:v>190000</c:v>
                </c:pt>
                <c:pt idx="560">
                  <c:v>217000</c:v>
                </c:pt>
                <c:pt idx="561">
                  <c:v>180000</c:v>
                </c:pt>
                <c:pt idx="562">
                  <c:v>190000</c:v>
                </c:pt>
                <c:pt idx="563">
                  <c:v>180000</c:v>
                </c:pt>
                <c:pt idx="564">
                  <c:v>180000</c:v>
                </c:pt>
                <c:pt idx="565">
                  <c:v>600000</c:v>
                </c:pt>
                <c:pt idx="568">
                  <c:v>190000</c:v>
                </c:pt>
                <c:pt idx="569">
                  <c:v>45000</c:v>
                </c:pt>
                <c:pt idx="570">
                  <c:v>100000</c:v>
                </c:pt>
                <c:pt idx="572">
                  <c:v>214000</c:v>
                </c:pt>
                <c:pt idx="573">
                  <c:v>114000</c:v>
                </c:pt>
                <c:pt idx="574">
                  <c:v>300000</c:v>
                </c:pt>
                <c:pt idx="578">
                  <c:v>145000</c:v>
                </c:pt>
                <c:pt idx="579">
                  <c:v>1246000</c:v>
                </c:pt>
                <c:pt idx="582">
                  <c:v>140000</c:v>
                </c:pt>
                <c:pt idx="583">
                  <c:v>360000</c:v>
                </c:pt>
                <c:pt idx="585">
                  <c:v>310000</c:v>
                </c:pt>
                <c:pt idx="586">
                  <c:v>175000</c:v>
                </c:pt>
                <c:pt idx="592">
                  <c:v>200000</c:v>
                </c:pt>
                <c:pt idx="594">
                  <c:v>50000</c:v>
                </c:pt>
                <c:pt idx="595">
                  <c:v>400000</c:v>
                </c:pt>
                <c:pt idx="599">
                  <c:v>925000</c:v>
                </c:pt>
                <c:pt idx="603">
                  <c:v>1062000</c:v>
                </c:pt>
                <c:pt idx="607">
                  <c:v>1329000</c:v>
                </c:pt>
                <c:pt idx="611">
                  <c:v>1178000</c:v>
                </c:pt>
                <c:pt idx="615">
                  <c:v>329500</c:v>
                </c:pt>
                <c:pt idx="617">
                  <c:v>150000</c:v>
                </c:pt>
                <c:pt idx="619">
                  <c:v>200000</c:v>
                </c:pt>
                <c:pt idx="620">
                  <c:v>200000</c:v>
                </c:pt>
                <c:pt idx="621">
                  <c:v>150000</c:v>
                </c:pt>
                <c:pt idx="622">
                  <c:v>200000</c:v>
                </c:pt>
                <c:pt idx="623">
                  <c:v>150000</c:v>
                </c:pt>
                <c:pt idx="624">
                  <c:v>150000</c:v>
                </c:pt>
                <c:pt idx="625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3B7-4365-B0FA-4FDEDDB054DA}"/>
            </c:ext>
          </c:extLst>
        </c:ser>
        <c:ser>
          <c:idx val="12"/>
          <c:order val="12"/>
          <c:tx>
            <c:strRef>
              <c:f>Sheet1!$O$1</c:f>
              <c:strCache>
                <c:ptCount val="1"/>
                <c:pt idx="0">
                  <c:v>Biaya Toll/Parkir (Rp)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Sheet1!$O$2:$O$629</c:f>
              <c:numCache>
                <c:formatCode>_-"Rp"* #,##0_-;\-"Rp"* #,##0_-;_-"Rp"* "-"??_-;_-@</c:formatCode>
                <c:ptCount val="628"/>
                <c:pt idx="0">
                  <c:v>229000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143000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285000</c:v>
                </c:pt>
                <c:pt idx="14">
                  <c:v>9000</c:v>
                </c:pt>
                <c:pt idx="15">
                  <c:v>0</c:v>
                </c:pt>
                <c:pt idx="16">
                  <c:v>216000</c:v>
                </c:pt>
                <c:pt idx="18">
                  <c:v>0</c:v>
                </c:pt>
                <c:pt idx="19">
                  <c:v>15000</c:v>
                </c:pt>
                <c:pt idx="25">
                  <c:v>124500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153500</c:v>
                </c:pt>
                <c:pt idx="43">
                  <c:v>458000</c:v>
                </c:pt>
                <c:pt idx="46">
                  <c:v>403000</c:v>
                </c:pt>
                <c:pt idx="51">
                  <c:v>267000</c:v>
                </c:pt>
                <c:pt idx="54">
                  <c:v>0</c:v>
                </c:pt>
                <c:pt idx="55">
                  <c:v>0</c:v>
                </c:pt>
                <c:pt idx="64">
                  <c:v>31500</c:v>
                </c:pt>
                <c:pt idx="68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442000</c:v>
                </c:pt>
                <c:pt idx="79">
                  <c:v>197000</c:v>
                </c:pt>
                <c:pt idx="80">
                  <c:v>256000</c:v>
                </c:pt>
                <c:pt idx="83">
                  <c:v>375500</c:v>
                </c:pt>
                <c:pt idx="87">
                  <c:v>0</c:v>
                </c:pt>
                <c:pt idx="91">
                  <c:v>50000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175000</c:v>
                </c:pt>
                <c:pt idx="109">
                  <c:v>0</c:v>
                </c:pt>
                <c:pt idx="112">
                  <c:v>36000</c:v>
                </c:pt>
                <c:pt idx="113">
                  <c:v>0</c:v>
                </c:pt>
                <c:pt idx="117">
                  <c:v>0</c:v>
                </c:pt>
                <c:pt idx="119">
                  <c:v>333000</c:v>
                </c:pt>
                <c:pt idx="121">
                  <c:v>0</c:v>
                </c:pt>
                <c:pt idx="123">
                  <c:v>185000</c:v>
                </c:pt>
                <c:pt idx="129">
                  <c:v>360000</c:v>
                </c:pt>
                <c:pt idx="133">
                  <c:v>0</c:v>
                </c:pt>
                <c:pt idx="135">
                  <c:v>10000</c:v>
                </c:pt>
                <c:pt idx="136">
                  <c:v>0</c:v>
                </c:pt>
                <c:pt idx="137">
                  <c:v>0</c:v>
                </c:pt>
                <c:pt idx="139">
                  <c:v>139000</c:v>
                </c:pt>
                <c:pt idx="141">
                  <c:v>634000</c:v>
                </c:pt>
                <c:pt idx="145">
                  <c:v>0</c:v>
                </c:pt>
                <c:pt idx="146">
                  <c:v>140500</c:v>
                </c:pt>
                <c:pt idx="147">
                  <c:v>0</c:v>
                </c:pt>
                <c:pt idx="148">
                  <c:v>0</c:v>
                </c:pt>
                <c:pt idx="150">
                  <c:v>9000</c:v>
                </c:pt>
                <c:pt idx="151">
                  <c:v>696500</c:v>
                </c:pt>
                <c:pt idx="156">
                  <c:v>36000</c:v>
                </c:pt>
                <c:pt idx="157" formatCode="_-&quot;Rp&quot;* #,##0_-;\-&quot;Rp&quot;* #,##0_-;_-&quot;Rp&quot;* &quot;-&quot;_-;_-@">
                  <c:v>376000</c:v>
                </c:pt>
                <c:pt idx="161">
                  <c:v>0</c:v>
                </c:pt>
                <c:pt idx="162">
                  <c:v>265000</c:v>
                </c:pt>
                <c:pt idx="163">
                  <c:v>198000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488500</c:v>
                </c:pt>
                <c:pt idx="191">
                  <c:v>9500</c:v>
                </c:pt>
                <c:pt idx="192">
                  <c:v>0</c:v>
                </c:pt>
                <c:pt idx="194">
                  <c:v>0</c:v>
                </c:pt>
                <c:pt idx="198">
                  <c:v>18000</c:v>
                </c:pt>
                <c:pt idx="206">
                  <c:v>220000</c:v>
                </c:pt>
                <c:pt idx="208">
                  <c:v>0</c:v>
                </c:pt>
                <c:pt idx="209">
                  <c:v>124500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349000</c:v>
                </c:pt>
                <c:pt idx="222">
                  <c:v>0</c:v>
                </c:pt>
                <c:pt idx="224">
                  <c:v>56000</c:v>
                </c:pt>
                <c:pt idx="226">
                  <c:v>90000</c:v>
                </c:pt>
                <c:pt idx="228">
                  <c:v>231000</c:v>
                </c:pt>
                <c:pt idx="230">
                  <c:v>187000</c:v>
                </c:pt>
                <c:pt idx="232">
                  <c:v>74000</c:v>
                </c:pt>
                <c:pt idx="234">
                  <c:v>57000</c:v>
                </c:pt>
                <c:pt idx="236">
                  <c:v>103000</c:v>
                </c:pt>
                <c:pt idx="238">
                  <c:v>289000</c:v>
                </c:pt>
                <c:pt idx="240">
                  <c:v>265000</c:v>
                </c:pt>
                <c:pt idx="242">
                  <c:v>285000</c:v>
                </c:pt>
                <c:pt idx="244">
                  <c:v>121000</c:v>
                </c:pt>
                <c:pt idx="246">
                  <c:v>0</c:v>
                </c:pt>
                <c:pt idx="248">
                  <c:v>84000</c:v>
                </c:pt>
                <c:pt idx="250">
                  <c:v>24000</c:v>
                </c:pt>
                <c:pt idx="252">
                  <c:v>398000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59000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159000</c:v>
                </c:pt>
                <c:pt idx="283">
                  <c:v>134000</c:v>
                </c:pt>
                <c:pt idx="284">
                  <c:v>37000</c:v>
                </c:pt>
                <c:pt idx="286">
                  <c:v>49000</c:v>
                </c:pt>
                <c:pt idx="288">
                  <c:v>366000</c:v>
                </c:pt>
                <c:pt idx="289">
                  <c:v>0</c:v>
                </c:pt>
                <c:pt idx="290">
                  <c:v>142500</c:v>
                </c:pt>
                <c:pt idx="292">
                  <c:v>207500</c:v>
                </c:pt>
                <c:pt idx="293">
                  <c:v>164000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81000</c:v>
                </c:pt>
                <c:pt idx="317">
                  <c:v>0</c:v>
                </c:pt>
                <c:pt idx="319">
                  <c:v>0</c:v>
                </c:pt>
                <c:pt idx="321">
                  <c:v>309500</c:v>
                </c:pt>
                <c:pt idx="327">
                  <c:v>233500</c:v>
                </c:pt>
                <c:pt idx="328">
                  <c:v>46000</c:v>
                </c:pt>
                <c:pt idx="329">
                  <c:v>0</c:v>
                </c:pt>
                <c:pt idx="330">
                  <c:v>142500</c:v>
                </c:pt>
                <c:pt idx="331">
                  <c:v>60000</c:v>
                </c:pt>
                <c:pt idx="332">
                  <c:v>0</c:v>
                </c:pt>
                <c:pt idx="333">
                  <c:v>129500</c:v>
                </c:pt>
                <c:pt idx="334">
                  <c:v>94500</c:v>
                </c:pt>
                <c:pt idx="335">
                  <c:v>0</c:v>
                </c:pt>
                <c:pt idx="336">
                  <c:v>150000</c:v>
                </c:pt>
                <c:pt idx="338">
                  <c:v>44000</c:v>
                </c:pt>
                <c:pt idx="340">
                  <c:v>0</c:v>
                </c:pt>
                <c:pt idx="342">
                  <c:v>0</c:v>
                </c:pt>
                <c:pt idx="344">
                  <c:v>31000</c:v>
                </c:pt>
                <c:pt idx="345">
                  <c:v>53000</c:v>
                </c:pt>
                <c:pt idx="346">
                  <c:v>109500</c:v>
                </c:pt>
                <c:pt idx="347">
                  <c:v>189000</c:v>
                </c:pt>
                <c:pt idx="348">
                  <c:v>31000</c:v>
                </c:pt>
                <c:pt idx="349">
                  <c:v>0</c:v>
                </c:pt>
                <c:pt idx="350">
                  <c:v>44000</c:v>
                </c:pt>
                <c:pt idx="351">
                  <c:v>114000</c:v>
                </c:pt>
                <c:pt idx="352">
                  <c:v>0</c:v>
                </c:pt>
                <c:pt idx="353">
                  <c:v>153000</c:v>
                </c:pt>
                <c:pt idx="354">
                  <c:v>28000</c:v>
                </c:pt>
                <c:pt idx="355">
                  <c:v>19000</c:v>
                </c:pt>
                <c:pt idx="356">
                  <c:v>67500</c:v>
                </c:pt>
                <c:pt idx="358">
                  <c:v>0</c:v>
                </c:pt>
                <c:pt idx="359">
                  <c:v>53000</c:v>
                </c:pt>
                <c:pt idx="360">
                  <c:v>84000</c:v>
                </c:pt>
                <c:pt idx="362">
                  <c:v>166000</c:v>
                </c:pt>
                <c:pt idx="365">
                  <c:v>275000</c:v>
                </c:pt>
                <c:pt idx="368">
                  <c:v>0</c:v>
                </c:pt>
                <c:pt idx="371">
                  <c:v>0</c:v>
                </c:pt>
                <c:pt idx="375">
                  <c:v>231000</c:v>
                </c:pt>
                <c:pt idx="376">
                  <c:v>208500</c:v>
                </c:pt>
                <c:pt idx="378">
                  <c:v>0</c:v>
                </c:pt>
                <c:pt idx="379">
                  <c:v>0</c:v>
                </c:pt>
                <c:pt idx="380">
                  <c:v>9000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97000</c:v>
                </c:pt>
                <c:pt idx="388">
                  <c:v>18000</c:v>
                </c:pt>
                <c:pt idx="389">
                  <c:v>0</c:v>
                </c:pt>
                <c:pt idx="395">
                  <c:v>43000</c:v>
                </c:pt>
                <c:pt idx="398">
                  <c:v>0</c:v>
                </c:pt>
                <c:pt idx="402">
                  <c:v>50000</c:v>
                </c:pt>
                <c:pt idx="404">
                  <c:v>80000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28000</c:v>
                </c:pt>
                <c:pt idx="420">
                  <c:v>105000</c:v>
                </c:pt>
                <c:pt idx="421">
                  <c:v>231500</c:v>
                </c:pt>
                <c:pt idx="422">
                  <c:v>37000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48000</c:v>
                </c:pt>
                <c:pt idx="428">
                  <c:v>124500</c:v>
                </c:pt>
                <c:pt idx="433">
                  <c:v>115000</c:v>
                </c:pt>
                <c:pt idx="438">
                  <c:v>0</c:v>
                </c:pt>
                <c:pt idx="443">
                  <c:v>9000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143000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5">
                  <c:v>0</c:v>
                </c:pt>
                <c:pt idx="478">
                  <c:v>251000</c:v>
                </c:pt>
                <c:pt idx="480">
                  <c:v>40500</c:v>
                </c:pt>
                <c:pt idx="481">
                  <c:v>40500</c:v>
                </c:pt>
                <c:pt idx="482">
                  <c:v>170000</c:v>
                </c:pt>
                <c:pt idx="483">
                  <c:v>253500</c:v>
                </c:pt>
                <c:pt idx="488">
                  <c:v>9000</c:v>
                </c:pt>
                <c:pt idx="490">
                  <c:v>174000</c:v>
                </c:pt>
                <c:pt idx="494">
                  <c:v>0</c:v>
                </c:pt>
                <c:pt idx="495">
                  <c:v>0</c:v>
                </c:pt>
                <c:pt idx="496">
                  <c:v>40500</c:v>
                </c:pt>
                <c:pt idx="497">
                  <c:v>0</c:v>
                </c:pt>
                <c:pt idx="498">
                  <c:v>75500</c:v>
                </c:pt>
                <c:pt idx="502">
                  <c:v>124500</c:v>
                </c:pt>
                <c:pt idx="505">
                  <c:v>0</c:v>
                </c:pt>
                <c:pt idx="508">
                  <c:v>268000</c:v>
                </c:pt>
                <c:pt idx="509">
                  <c:v>0</c:v>
                </c:pt>
                <c:pt idx="514">
                  <c:v>0</c:v>
                </c:pt>
                <c:pt idx="518">
                  <c:v>10000</c:v>
                </c:pt>
                <c:pt idx="519">
                  <c:v>0</c:v>
                </c:pt>
                <c:pt idx="521">
                  <c:v>0</c:v>
                </c:pt>
                <c:pt idx="523">
                  <c:v>18000</c:v>
                </c:pt>
                <c:pt idx="525">
                  <c:v>22000</c:v>
                </c:pt>
                <c:pt idx="526">
                  <c:v>0</c:v>
                </c:pt>
                <c:pt idx="528">
                  <c:v>142400</c:v>
                </c:pt>
                <c:pt idx="529">
                  <c:v>142400</c:v>
                </c:pt>
                <c:pt idx="530">
                  <c:v>142400</c:v>
                </c:pt>
                <c:pt idx="531">
                  <c:v>142400</c:v>
                </c:pt>
                <c:pt idx="532">
                  <c:v>142400</c:v>
                </c:pt>
                <c:pt idx="533">
                  <c:v>22000</c:v>
                </c:pt>
                <c:pt idx="534">
                  <c:v>124500</c:v>
                </c:pt>
                <c:pt idx="538">
                  <c:v>212000</c:v>
                </c:pt>
                <c:pt idx="541">
                  <c:v>79000</c:v>
                </c:pt>
                <c:pt idx="542">
                  <c:v>79000</c:v>
                </c:pt>
                <c:pt idx="543">
                  <c:v>79000</c:v>
                </c:pt>
                <c:pt idx="544">
                  <c:v>79000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173500</c:v>
                </c:pt>
                <c:pt idx="557">
                  <c:v>291500</c:v>
                </c:pt>
                <c:pt idx="559">
                  <c:v>145000</c:v>
                </c:pt>
                <c:pt idx="560">
                  <c:v>114000</c:v>
                </c:pt>
                <c:pt idx="561">
                  <c:v>130000</c:v>
                </c:pt>
                <c:pt idx="562">
                  <c:v>142000</c:v>
                </c:pt>
                <c:pt idx="563">
                  <c:v>130000</c:v>
                </c:pt>
                <c:pt idx="564">
                  <c:v>130000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124000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245000</c:v>
                </c:pt>
                <c:pt idx="585">
                  <c:v>384000</c:v>
                </c:pt>
                <c:pt idx="586">
                  <c:v>129000</c:v>
                </c:pt>
                <c:pt idx="592">
                  <c:v>188000</c:v>
                </c:pt>
                <c:pt idx="594">
                  <c:v>23000</c:v>
                </c:pt>
                <c:pt idx="595">
                  <c:v>0</c:v>
                </c:pt>
                <c:pt idx="599">
                  <c:v>18000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100000</c:v>
                </c:pt>
                <c:pt idx="619">
                  <c:v>192500</c:v>
                </c:pt>
                <c:pt idx="620">
                  <c:v>192500</c:v>
                </c:pt>
                <c:pt idx="621">
                  <c:v>50000</c:v>
                </c:pt>
                <c:pt idx="622">
                  <c:v>192500</c:v>
                </c:pt>
                <c:pt idx="623">
                  <c:v>127000</c:v>
                </c:pt>
                <c:pt idx="624">
                  <c:v>50000</c:v>
                </c:pt>
                <c:pt idx="6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B7-4365-B0FA-4FDEDDB054DA}"/>
            </c:ext>
          </c:extLst>
        </c:ser>
        <c:ser>
          <c:idx val="13"/>
          <c:order val="13"/>
          <c:tx>
            <c:strRef>
              <c:f>Sheet1!$P$1</c:f>
              <c:strCache>
                <c:ptCount val="1"/>
                <c:pt idx="0">
                  <c:v>Biaya Lain- Lain (Rp)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Sheet1!$P$2:$P$629</c:f>
              <c:numCache>
                <c:formatCode>_-"Rp"* #,##0_-;\-"Rp"* #,##0_-;_-"Rp"* "-"??_-;_-@</c:formatCode>
                <c:ptCount val="628"/>
                <c:pt idx="0">
                  <c:v>0</c:v>
                </c:pt>
                <c:pt idx="1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100000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250000</c:v>
                </c:pt>
                <c:pt idx="14">
                  <c:v>0</c:v>
                </c:pt>
                <c:pt idx="15">
                  <c:v>0</c:v>
                </c:pt>
                <c:pt idx="16">
                  <c:v>100000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200000</c:v>
                </c:pt>
                <c:pt idx="32">
                  <c:v>0</c:v>
                </c:pt>
                <c:pt idx="35">
                  <c:v>0</c:v>
                </c:pt>
                <c:pt idx="40">
                  <c:v>150000</c:v>
                </c:pt>
                <c:pt idx="43">
                  <c:v>150000</c:v>
                </c:pt>
                <c:pt idx="46">
                  <c:v>20000</c:v>
                </c:pt>
                <c:pt idx="51">
                  <c:v>41000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5">
                  <c:v>0</c:v>
                </c:pt>
                <c:pt idx="79">
                  <c:v>29500</c:v>
                </c:pt>
                <c:pt idx="80">
                  <c:v>0</c:v>
                </c:pt>
                <c:pt idx="83">
                  <c:v>83000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3">
                  <c:v>0</c:v>
                </c:pt>
                <c:pt idx="135">
                  <c:v>50000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200000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200000</c:v>
                </c:pt>
                <c:pt idx="156">
                  <c:v>34000</c:v>
                </c:pt>
                <c:pt idx="157" formatCode="_-&quot;Rp&quot;* #,##0_-;\-&quot;Rp&quot;* #,##0_-;_-&quot;Rp&quot;* &quot;-&quot;_-;_-@">
                  <c:v>43000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100000</c:v>
                </c:pt>
                <c:pt idx="173">
                  <c:v>0</c:v>
                </c:pt>
                <c:pt idx="177">
                  <c:v>46000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170000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148000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170000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200000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300000</c:v>
                </c:pt>
                <c:pt idx="289">
                  <c:v>0</c:v>
                </c:pt>
                <c:pt idx="290">
                  <c:v>132000</c:v>
                </c:pt>
                <c:pt idx="292">
                  <c:v>37500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200000</c:v>
                </c:pt>
                <c:pt idx="321">
                  <c:v>0</c:v>
                </c:pt>
                <c:pt idx="327">
                  <c:v>50000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30000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150000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50000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450000</c:v>
                </c:pt>
                <c:pt idx="395">
                  <c:v>27000</c:v>
                </c:pt>
                <c:pt idx="398">
                  <c:v>0</c:v>
                </c:pt>
                <c:pt idx="402">
                  <c:v>0</c:v>
                </c:pt>
                <c:pt idx="404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250000</c:v>
                </c:pt>
                <c:pt idx="419">
                  <c:v>50000</c:v>
                </c:pt>
                <c:pt idx="420">
                  <c:v>50000</c:v>
                </c:pt>
                <c:pt idx="421">
                  <c:v>50000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50000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200000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8">
                  <c:v>0</c:v>
                </c:pt>
                <c:pt idx="509">
                  <c:v>20000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75000</c:v>
                </c:pt>
                <c:pt idx="526">
                  <c:v>0</c:v>
                </c:pt>
                <c:pt idx="528">
                  <c:v>60000</c:v>
                </c:pt>
                <c:pt idx="529">
                  <c:v>60000</c:v>
                </c:pt>
                <c:pt idx="530">
                  <c:v>60000</c:v>
                </c:pt>
                <c:pt idx="531">
                  <c:v>60000</c:v>
                </c:pt>
                <c:pt idx="532">
                  <c:v>60000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87500</c:v>
                </c:pt>
                <c:pt idx="542">
                  <c:v>87500</c:v>
                </c:pt>
                <c:pt idx="543">
                  <c:v>87500</c:v>
                </c:pt>
                <c:pt idx="544">
                  <c:v>87500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100000</c:v>
                </c:pt>
                <c:pt idx="557">
                  <c:v>100000</c:v>
                </c:pt>
                <c:pt idx="559">
                  <c:v>50000</c:v>
                </c:pt>
                <c:pt idx="560">
                  <c:v>50000</c:v>
                </c:pt>
                <c:pt idx="561">
                  <c:v>50000</c:v>
                </c:pt>
                <c:pt idx="562">
                  <c:v>50000</c:v>
                </c:pt>
                <c:pt idx="563">
                  <c:v>50000</c:v>
                </c:pt>
                <c:pt idx="564">
                  <c:v>50000</c:v>
                </c:pt>
                <c:pt idx="565">
                  <c:v>0</c:v>
                </c:pt>
                <c:pt idx="568">
                  <c:v>0</c:v>
                </c:pt>
                <c:pt idx="569">
                  <c:v>50000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400000</c:v>
                </c:pt>
                <c:pt idx="578">
                  <c:v>0</c:v>
                </c:pt>
                <c:pt idx="579">
                  <c:v>500000</c:v>
                </c:pt>
                <c:pt idx="582">
                  <c:v>0</c:v>
                </c:pt>
                <c:pt idx="583">
                  <c:v>0</c:v>
                </c:pt>
                <c:pt idx="585">
                  <c:v>150000</c:v>
                </c:pt>
                <c:pt idx="586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250000</c:v>
                </c:pt>
                <c:pt idx="617">
                  <c:v>54900</c:v>
                </c:pt>
                <c:pt idx="619">
                  <c:v>0</c:v>
                </c:pt>
                <c:pt idx="620">
                  <c:v>0</c:v>
                </c:pt>
                <c:pt idx="621">
                  <c:v>50000</c:v>
                </c:pt>
                <c:pt idx="622">
                  <c:v>0</c:v>
                </c:pt>
                <c:pt idx="623">
                  <c:v>0</c:v>
                </c:pt>
                <c:pt idx="624">
                  <c:v>50000</c:v>
                </c:pt>
                <c:pt idx="6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B7-4365-B0FA-4FDEDDB054DA}"/>
            </c:ext>
          </c:extLst>
        </c:ser>
        <c:ser>
          <c:idx val="14"/>
          <c:order val="14"/>
          <c:tx>
            <c:strRef>
              <c:f>Sheet1!$Q$1</c:f>
              <c:strCache>
                <c:ptCount val="1"/>
                <c:pt idx="0">
                  <c:v>Ket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Sheet1!$Q$2:$Q$629</c:f>
              <c:numCache>
                <c:formatCode>_-"Rp"* #,##0_-;\-"Rp"* #,##0_-;_-"Rp"* "-"??_-;_-@</c:formatCode>
                <c:ptCount val="628"/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5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64">
                  <c:v>0</c:v>
                </c:pt>
                <c:pt idx="68">
                  <c:v>0</c:v>
                </c:pt>
                <c:pt idx="72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3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9">
                  <c:v>0</c:v>
                </c:pt>
                <c:pt idx="112">
                  <c:v>0</c:v>
                </c:pt>
                <c:pt idx="113">
                  <c:v>0</c:v>
                </c:pt>
                <c:pt idx="117">
                  <c:v>0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29">
                  <c:v>0</c:v>
                </c:pt>
                <c:pt idx="133">
                  <c:v>0</c:v>
                </c:pt>
                <c:pt idx="135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7000000</c:v>
                </c:pt>
                <c:pt idx="156">
                  <c:v>0</c:v>
                </c:pt>
                <c:pt idx="157" formatCode="_-&quot;Rp&quot;* #,##0_-;\-&quot;Rp&quot;* #,##0_-;_-&quot;Rp&quot;* &quot;-&quot;_-;_-@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3">
                  <c:v>0</c:v>
                </c:pt>
                <c:pt idx="177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4">
                  <c:v>0</c:v>
                </c:pt>
                <c:pt idx="198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0">
                  <c:v>0</c:v>
                </c:pt>
                <c:pt idx="232">
                  <c:v>0</c:v>
                </c:pt>
                <c:pt idx="234">
                  <c:v>0</c:v>
                </c:pt>
                <c:pt idx="236">
                  <c:v>0</c:v>
                </c:pt>
                <c:pt idx="240">
                  <c:v>0</c:v>
                </c:pt>
                <c:pt idx="242">
                  <c:v>0</c:v>
                </c:pt>
                <c:pt idx="244">
                  <c:v>0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7">
                  <c:v>0</c:v>
                </c:pt>
                <c:pt idx="258">
                  <c:v>0</c:v>
                </c:pt>
                <c:pt idx="260">
                  <c:v>0</c:v>
                </c:pt>
                <c:pt idx="263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  <c:pt idx="272">
                  <c:v>0</c:v>
                </c:pt>
                <c:pt idx="273">
                  <c:v>0</c:v>
                </c:pt>
                <c:pt idx="277">
                  <c:v>0</c:v>
                </c:pt>
                <c:pt idx="279">
                  <c:v>0</c:v>
                </c:pt>
                <c:pt idx="281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9">
                  <c:v>0</c:v>
                </c:pt>
                <c:pt idx="300">
                  <c:v>0</c:v>
                </c:pt>
                <c:pt idx="303">
                  <c:v>0</c:v>
                </c:pt>
                <c:pt idx="306">
                  <c:v>0</c:v>
                </c:pt>
                <c:pt idx="309">
                  <c:v>0</c:v>
                </c:pt>
                <c:pt idx="311">
                  <c:v>0</c:v>
                </c:pt>
                <c:pt idx="313">
                  <c:v>0</c:v>
                </c:pt>
                <c:pt idx="314">
                  <c:v>0</c:v>
                </c:pt>
                <c:pt idx="317">
                  <c:v>0</c:v>
                </c:pt>
                <c:pt idx="319">
                  <c:v>0</c:v>
                </c:pt>
                <c:pt idx="321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40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2">
                  <c:v>0</c:v>
                </c:pt>
                <c:pt idx="365">
                  <c:v>0</c:v>
                </c:pt>
                <c:pt idx="368">
                  <c:v>0</c:v>
                </c:pt>
                <c:pt idx="371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4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5">
                  <c:v>0</c:v>
                </c:pt>
                <c:pt idx="398">
                  <c:v>0</c:v>
                </c:pt>
                <c:pt idx="402">
                  <c:v>0</c:v>
                </c:pt>
                <c:pt idx="404">
                  <c:v>0</c:v>
                </c:pt>
                <c:pt idx="408">
                  <c:v>0</c:v>
                </c:pt>
                <c:pt idx="411">
                  <c:v>0</c:v>
                </c:pt>
                <c:pt idx="412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33">
                  <c:v>0</c:v>
                </c:pt>
                <c:pt idx="438">
                  <c:v>0</c:v>
                </c:pt>
                <c:pt idx="443">
                  <c:v>0</c:v>
                </c:pt>
                <c:pt idx="449">
                  <c:v>0</c:v>
                </c:pt>
                <c:pt idx="451">
                  <c:v>0</c:v>
                </c:pt>
                <c:pt idx="453">
                  <c:v>0</c:v>
                </c:pt>
                <c:pt idx="456">
                  <c:v>0</c:v>
                </c:pt>
                <c:pt idx="463">
                  <c:v>0</c:v>
                </c:pt>
                <c:pt idx="464">
                  <c:v>0</c:v>
                </c:pt>
                <c:pt idx="466">
                  <c:v>0</c:v>
                </c:pt>
                <c:pt idx="467">
                  <c:v>0</c:v>
                </c:pt>
                <c:pt idx="470">
                  <c:v>0</c:v>
                </c:pt>
                <c:pt idx="472">
                  <c:v>0</c:v>
                </c:pt>
                <c:pt idx="473">
                  <c:v>0</c:v>
                </c:pt>
                <c:pt idx="475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8">
                  <c:v>0</c:v>
                </c:pt>
                <c:pt idx="490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502">
                  <c:v>0</c:v>
                </c:pt>
                <c:pt idx="505">
                  <c:v>0</c:v>
                </c:pt>
                <c:pt idx="508">
                  <c:v>0</c:v>
                </c:pt>
                <c:pt idx="509">
                  <c:v>0</c:v>
                </c:pt>
                <c:pt idx="514">
                  <c:v>0</c:v>
                </c:pt>
                <c:pt idx="518">
                  <c:v>0</c:v>
                </c:pt>
                <c:pt idx="519">
                  <c:v>0</c:v>
                </c:pt>
                <c:pt idx="521">
                  <c:v>0</c:v>
                </c:pt>
                <c:pt idx="523">
                  <c:v>0</c:v>
                </c:pt>
                <c:pt idx="525">
                  <c:v>0</c:v>
                </c:pt>
                <c:pt idx="526">
                  <c:v>0</c:v>
                </c:pt>
                <c:pt idx="528">
                  <c:v>0</c:v>
                </c:pt>
                <c:pt idx="533">
                  <c:v>0</c:v>
                </c:pt>
                <c:pt idx="534">
                  <c:v>0</c:v>
                </c:pt>
                <c:pt idx="538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9">
                  <c:v>0</c:v>
                </c:pt>
                <c:pt idx="551">
                  <c:v>0</c:v>
                </c:pt>
                <c:pt idx="553">
                  <c:v>0</c:v>
                </c:pt>
                <c:pt idx="555">
                  <c:v>0</c:v>
                </c:pt>
                <c:pt idx="557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8">
                  <c:v>0</c:v>
                </c:pt>
                <c:pt idx="579">
                  <c:v>0</c:v>
                </c:pt>
                <c:pt idx="582">
                  <c:v>0</c:v>
                </c:pt>
                <c:pt idx="583">
                  <c:v>0</c:v>
                </c:pt>
                <c:pt idx="585">
                  <c:v>0</c:v>
                </c:pt>
                <c:pt idx="586">
                  <c:v>0</c:v>
                </c:pt>
                <c:pt idx="592">
                  <c:v>0</c:v>
                </c:pt>
                <c:pt idx="594">
                  <c:v>0</c:v>
                </c:pt>
                <c:pt idx="595">
                  <c:v>0</c:v>
                </c:pt>
                <c:pt idx="599">
                  <c:v>0</c:v>
                </c:pt>
                <c:pt idx="603">
                  <c:v>0</c:v>
                </c:pt>
                <c:pt idx="607">
                  <c:v>0</c:v>
                </c:pt>
                <c:pt idx="611">
                  <c:v>0</c:v>
                </c:pt>
                <c:pt idx="615">
                  <c:v>0</c:v>
                </c:pt>
                <c:pt idx="617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3B7-4365-B0FA-4FDEDDB054DA}"/>
            </c:ext>
          </c:extLst>
        </c:ser>
        <c:ser>
          <c:idx val="15"/>
          <c:order val="15"/>
          <c:tx>
            <c:strRef>
              <c:f>Sheet1!$R$1</c:f>
              <c:strCache>
                <c:ptCount val="1"/>
                <c:pt idx="0">
                  <c:v> Total Margin</c:v>
                </c:pt>
              </c:strCache>
            </c:strRef>
          </c:tx>
          <c:invertIfNegative val="1"/>
          <c:cat>
            <c:numRef>
              <c:f>Sheet1!$A$2:$A$629</c:f>
              <c:numCache>
                <c:formatCode>General</c:formatCode>
                <c:ptCount val="628"/>
                <c:pt idx="0">
                  <c:v>250900001</c:v>
                </c:pt>
                <c:pt idx="1">
                  <c:v>250900002</c:v>
                </c:pt>
                <c:pt idx="4">
                  <c:v>250900003</c:v>
                </c:pt>
                <c:pt idx="5">
                  <c:v>250900004</c:v>
                </c:pt>
                <c:pt idx="6">
                  <c:v>250900005</c:v>
                </c:pt>
                <c:pt idx="8">
                  <c:v>250900006</c:v>
                </c:pt>
                <c:pt idx="9">
                  <c:v>250900007</c:v>
                </c:pt>
                <c:pt idx="10">
                  <c:v>250900008</c:v>
                </c:pt>
                <c:pt idx="12">
                  <c:v>250900009</c:v>
                </c:pt>
                <c:pt idx="14">
                  <c:v>250900010</c:v>
                </c:pt>
                <c:pt idx="15">
                  <c:v>250900011</c:v>
                </c:pt>
                <c:pt idx="16">
                  <c:v>250900012</c:v>
                </c:pt>
                <c:pt idx="18">
                  <c:v>250900013</c:v>
                </c:pt>
                <c:pt idx="19">
                  <c:v>250900014</c:v>
                </c:pt>
                <c:pt idx="25">
                  <c:v>250900015</c:v>
                </c:pt>
                <c:pt idx="29">
                  <c:v>250900016</c:v>
                </c:pt>
                <c:pt idx="32">
                  <c:v>250900017</c:v>
                </c:pt>
                <c:pt idx="35">
                  <c:v>250900018</c:v>
                </c:pt>
                <c:pt idx="40">
                  <c:v>250900019</c:v>
                </c:pt>
                <c:pt idx="43">
                  <c:v>250900020</c:v>
                </c:pt>
                <c:pt idx="46">
                  <c:v>250900021</c:v>
                </c:pt>
                <c:pt idx="51">
                  <c:v>250900022</c:v>
                </c:pt>
                <c:pt idx="54">
                  <c:v>250900023</c:v>
                </c:pt>
                <c:pt idx="55">
                  <c:v>250900024</c:v>
                </c:pt>
                <c:pt idx="64">
                  <c:v>250900025</c:v>
                </c:pt>
                <c:pt idx="68">
                  <c:v>250900026</c:v>
                </c:pt>
                <c:pt idx="72">
                  <c:v>250900027</c:v>
                </c:pt>
                <c:pt idx="74">
                  <c:v>250900028</c:v>
                </c:pt>
                <c:pt idx="75">
                  <c:v>250900029</c:v>
                </c:pt>
                <c:pt idx="79">
                  <c:v>250900030</c:v>
                </c:pt>
                <c:pt idx="80">
                  <c:v>250900031</c:v>
                </c:pt>
                <c:pt idx="83">
                  <c:v>250900032</c:v>
                </c:pt>
                <c:pt idx="87">
                  <c:v>250900033</c:v>
                </c:pt>
                <c:pt idx="91">
                  <c:v>250900034</c:v>
                </c:pt>
                <c:pt idx="95">
                  <c:v>250900035</c:v>
                </c:pt>
                <c:pt idx="98">
                  <c:v>250900036</c:v>
                </c:pt>
                <c:pt idx="100">
                  <c:v>250900037</c:v>
                </c:pt>
                <c:pt idx="102">
                  <c:v>250900038</c:v>
                </c:pt>
                <c:pt idx="104">
                  <c:v>250900039</c:v>
                </c:pt>
                <c:pt idx="106">
                  <c:v>250900040</c:v>
                </c:pt>
                <c:pt idx="109">
                  <c:v>250900041</c:v>
                </c:pt>
                <c:pt idx="112">
                  <c:v>250900042</c:v>
                </c:pt>
                <c:pt idx="113">
                  <c:v>250900043</c:v>
                </c:pt>
                <c:pt idx="117">
                  <c:v>250900044</c:v>
                </c:pt>
                <c:pt idx="119">
                  <c:v>250900045</c:v>
                </c:pt>
                <c:pt idx="121">
                  <c:v>250900046</c:v>
                </c:pt>
                <c:pt idx="123">
                  <c:v>250900047</c:v>
                </c:pt>
                <c:pt idx="126">
                  <c:v>250900048</c:v>
                </c:pt>
                <c:pt idx="129">
                  <c:v>250900049</c:v>
                </c:pt>
                <c:pt idx="130">
                  <c:v>250900050</c:v>
                </c:pt>
                <c:pt idx="133">
                  <c:v>250900051</c:v>
                </c:pt>
                <c:pt idx="135">
                  <c:v>250900052</c:v>
                </c:pt>
                <c:pt idx="136">
                  <c:v>250900053</c:v>
                </c:pt>
                <c:pt idx="137">
                  <c:v>250900054</c:v>
                </c:pt>
                <c:pt idx="139">
                  <c:v>250900055</c:v>
                </c:pt>
                <c:pt idx="141">
                  <c:v>250900056</c:v>
                </c:pt>
                <c:pt idx="145">
                  <c:v>250900057</c:v>
                </c:pt>
                <c:pt idx="146">
                  <c:v>250900058</c:v>
                </c:pt>
                <c:pt idx="147">
                  <c:v>250900059</c:v>
                </c:pt>
                <c:pt idx="148">
                  <c:v>250900060</c:v>
                </c:pt>
                <c:pt idx="150">
                  <c:v>250900061</c:v>
                </c:pt>
                <c:pt idx="151">
                  <c:v>250900062</c:v>
                </c:pt>
                <c:pt idx="156">
                  <c:v>250900065</c:v>
                </c:pt>
                <c:pt idx="157">
                  <c:v>250900066</c:v>
                </c:pt>
                <c:pt idx="161">
                  <c:v>250900067</c:v>
                </c:pt>
                <c:pt idx="162">
                  <c:v>250900068</c:v>
                </c:pt>
                <c:pt idx="163">
                  <c:v>250900069</c:v>
                </c:pt>
                <c:pt idx="165">
                  <c:v>250900070</c:v>
                </c:pt>
                <c:pt idx="167">
                  <c:v>250900071</c:v>
                </c:pt>
                <c:pt idx="168">
                  <c:v>251000001</c:v>
                </c:pt>
                <c:pt idx="173">
                  <c:v>251000002</c:v>
                </c:pt>
                <c:pt idx="177">
                  <c:v>251000003</c:v>
                </c:pt>
                <c:pt idx="180">
                  <c:v>251000004</c:v>
                </c:pt>
                <c:pt idx="183">
                  <c:v>251000077</c:v>
                </c:pt>
                <c:pt idx="184">
                  <c:v>251000005</c:v>
                </c:pt>
                <c:pt idx="190">
                  <c:v>251000006</c:v>
                </c:pt>
                <c:pt idx="191">
                  <c:v>251000007</c:v>
                </c:pt>
                <c:pt idx="192">
                  <c:v>251000008</c:v>
                </c:pt>
                <c:pt idx="194">
                  <c:v>251000009</c:v>
                </c:pt>
                <c:pt idx="198">
                  <c:v>251000010</c:v>
                </c:pt>
                <c:pt idx="206">
                  <c:v>251000011</c:v>
                </c:pt>
                <c:pt idx="208">
                  <c:v>251000012</c:v>
                </c:pt>
                <c:pt idx="209">
                  <c:v>251000013</c:v>
                </c:pt>
                <c:pt idx="212">
                  <c:v>251000014</c:v>
                </c:pt>
                <c:pt idx="213">
                  <c:v>251000015</c:v>
                </c:pt>
                <c:pt idx="214">
                  <c:v>251000016</c:v>
                </c:pt>
                <c:pt idx="218">
                  <c:v>251000017</c:v>
                </c:pt>
                <c:pt idx="219">
                  <c:v>251000018</c:v>
                </c:pt>
                <c:pt idx="220">
                  <c:v>251000019</c:v>
                </c:pt>
                <c:pt idx="222">
                  <c:v>251000020</c:v>
                </c:pt>
                <c:pt idx="224">
                  <c:v>251001021</c:v>
                </c:pt>
                <c:pt idx="226">
                  <c:v>251002021</c:v>
                </c:pt>
                <c:pt idx="228">
                  <c:v>251003021</c:v>
                </c:pt>
                <c:pt idx="230">
                  <c:v>251004021</c:v>
                </c:pt>
                <c:pt idx="232">
                  <c:v>251005021</c:v>
                </c:pt>
                <c:pt idx="234">
                  <c:v>251006021</c:v>
                </c:pt>
                <c:pt idx="236">
                  <c:v>251007021</c:v>
                </c:pt>
                <c:pt idx="238">
                  <c:v>251008021</c:v>
                </c:pt>
                <c:pt idx="240">
                  <c:v>251009021</c:v>
                </c:pt>
                <c:pt idx="242">
                  <c:v>251010021</c:v>
                </c:pt>
                <c:pt idx="244">
                  <c:v>251011021</c:v>
                </c:pt>
                <c:pt idx="246">
                  <c:v>251012021</c:v>
                </c:pt>
                <c:pt idx="248">
                  <c:v>251013021</c:v>
                </c:pt>
                <c:pt idx="250">
                  <c:v>251014021</c:v>
                </c:pt>
                <c:pt idx="252">
                  <c:v>251000022</c:v>
                </c:pt>
                <c:pt idx="257">
                  <c:v>251000023</c:v>
                </c:pt>
                <c:pt idx="258">
                  <c:v>251000024</c:v>
                </c:pt>
                <c:pt idx="260">
                  <c:v>251000025</c:v>
                </c:pt>
                <c:pt idx="263">
                  <c:v>251000026</c:v>
                </c:pt>
                <c:pt idx="266">
                  <c:v>251000027</c:v>
                </c:pt>
                <c:pt idx="268">
                  <c:v>251000028</c:v>
                </c:pt>
                <c:pt idx="269">
                  <c:v>251000029</c:v>
                </c:pt>
                <c:pt idx="272">
                  <c:v>251000030</c:v>
                </c:pt>
                <c:pt idx="273">
                  <c:v>251000031</c:v>
                </c:pt>
                <c:pt idx="277">
                  <c:v>251000032</c:v>
                </c:pt>
                <c:pt idx="279">
                  <c:v>251000033</c:v>
                </c:pt>
                <c:pt idx="281">
                  <c:v>251000034</c:v>
                </c:pt>
                <c:pt idx="283">
                  <c:v>251015021</c:v>
                </c:pt>
                <c:pt idx="284">
                  <c:v>251016021</c:v>
                </c:pt>
                <c:pt idx="286">
                  <c:v>251017021</c:v>
                </c:pt>
                <c:pt idx="288">
                  <c:v>251000035</c:v>
                </c:pt>
                <c:pt idx="289">
                  <c:v>251000036</c:v>
                </c:pt>
                <c:pt idx="290">
                  <c:v>251000037</c:v>
                </c:pt>
                <c:pt idx="292">
                  <c:v>251000038</c:v>
                </c:pt>
                <c:pt idx="293">
                  <c:v>251000039</c:v>
                </c:pt>
                <c:pt idx="294">
                  <c:v>251000040</c:v>
                </c:pt>
                <c:pt idx="295">
                  <c:v>251000041</c:v>
                </c:pt>
                <c:pt idx="299">
                  <c:v>251000042</c:v>
                </c:pt>
                <c:pt idx="300">
                  <c:v>251000043</c:v>
                </c:pt>
                <c:pt idx="303">
                  <c:v>251000044</c:v>
                </c:pt>
                <c:pt idx="306">
                  <c:v>251000045</c:v>
                </c:pt>
                <c:pt idx="309">
                  <c:v>251000046</c:v>
                </c:pt>
                <c:pt idx="311">
                  <c:v>251000047</c:v>
                </c:pt>
                <c:pt idx="313">
                  <c:v>251000077</c:v>
                </c:pt>
                <c:pt idx="314">
                  <c:v>251000048</c:v>
                </c:pt>
                <c:pt idx="317">
                  <c:v>251000049</c:v>
                </c:pt>
                <c:pt idx="319">
                  <c:v>251000050</c:v>
                </c:pt>
                <c:pt idx="321">
                  <c:v>251000051</c:v>
                </c:pt>
                <c:pt idx="327">
                  <c:v>251000052</c:v>
                </c:pt>
                <c:pt idx="328">
                  <c:v>251000052</c:v>
                </c:pt>
                <c:pt idx="329">
                  <c:v>251000053</c:v>
                </c:pt>
                <c:pt idx="330">
                  <c:v>251001054</c:v>
                </c:pt>
                <c:pt idx="331">
                  <c:v>251002054</c:v>
                </c:pt>
                <c:pt idx="332">
                  <c:v>251003054</c:v>
                </c:pt>
                <c:pt idx="333">
                  <c:v>251004054</c:v>
                </c:pt>
                <c:pt idx="334">
                  <c:v>251005054</c:v>
                </c:pt>
                <c:pt idx="335">
                  <c:v>251006054</c:v>
                </c:pt>
                <c:pt idx="336">
                  <c:v>251000055</c:v>
                </c:pt>
                <c:pt idx="338">
                  <c:v>251000056</c:v>
                </c:pt>
                <c:pt idx="340">
                  <c:v>251000057</c:v>
                </c:pt>
                <c:pt idx="342">
                  <c:v>251000058</c:v>
                </c:pt>
                <c:pt idx="344">
                  <c:v>251001059</c:v>
                </c:pt>
                <c:pt idx="345">
                  <c:v>251002059</c:v>
                </c:pt>
                <c:pt idx="346">
                  <c:v>251003059</c:v>
                </c:pt>
                <c:pt idx="347">
                  <c:v>251010060</c:v>
                </c:pt>
                <c:pt idx="348">
                  <c:v>251002060</c:v>
                </c:pt>
                <c:pt idx="349">
                  <c:v>251000061</c:v>
                </c:pt>
                <c:pt idx="350">
                  <c:v>251000062</c:v>
                </c:pt>
                <c:pt idx="351">
                  <c:v>251000063</c:v>
                </c:pt>
                <c:pt idx="352">
                  <c:v>251000064</c:v>
                </c:pt>
                <c:pt idx="353">
                  <c:v>251001065</c:v>
                </c:pt>
                <c:pt idx="354">
                  <c:v>251002065</c:v>
                </c:pt>
                <c:pt idx="355">
                  <c:v>251003065</c:v>
                </c:pt>
                <c:pt idx="356">
                  <c:v>251000066</c:v>
                </c:pt>
                <c:pt idx="358">
                  <c:v>251000067</c:v>
                </c:pt>
                <c:pt idx="359">
                  <c:v>251000068</c:v>
                </c:pt>
                <c:pt idx="360">
                  <c:v>251000069</c:v>
                </c:pt>
                <c:pt idx="362">
                  <c:v>251001070</c:v>
                </c:pt>
                <c:pt idx="365">
                  <c:v>251002070</c:v>
                </c:pt>
                <c:pt idx="368">
                  <c:v>251000071</c:v>
                </c:pt>
                <c:pt idx="371">
                  <c:v>251000072</c:v>
                </c:pt>
                <c:pt idx="375">
                  <c:v>251000073</c:v>
                </c:pt>
                <c:pt idx="376">
                  <c:v>251000074</c:v>
                </c:pt>
                <c:pt idx="378">
                  <c:v>251000075</c:v>
                </c:pt>
                <c:pt idx="379">
                  <c:v>251000076</c:v>
                </c:pt>
                <c:pt idx="380">
                  <c:v>250800000</c:v>
                </c:pt>
                <c:pt idx="382">
                  <c:v>250800001</c:v>
                </c:pt>
                <c:pt idx="384">
                  <c:v>250800002</c:v>
                </c:pt>
                <c:pt idx="386">
                  <c:v>250800003</c:v>
                </c:pt>
                <c:pt idx="387">
                  <c:v>250800004</c:v>
                </c:pt>
                <c:pt idx="388">
                  <c:v>250800005</c:v>
                </c:pt>
                <c:pt idx="389">
                  <c:v>250800006</c:v>
                </c:pt>
                <c:pt idx="395">
                  <c:v>250800009</c:v>
                </c:pt>
                <c:pt idx="398">
                  <c:v>250800010</c:v>
                </c:pt>
                <c:pt idx="402">
                  <c:v>250800011</c:v>
                </c:pt>
                <c:pt idx="403">
                  <c:v>250800012</c:v>
                </c:pt>
                <c:pt idx="404">
                  <c:v>250800013</c:v>
                </c:pt>
                <c:pt idx="406">
                  <c:v>250800014</c:v>
                </c:pt>
                <c:pt idx="408">
                  <c:v>250800015</c:v>
                </c:pt>
                <c:pt idx="411">
                  <c:v>250800016</c:v>
                </c:pt>
                <c:pt idx="412">
                  <c:v>250800017</c:v>
                </c:pt>
                <c:pt idx="415">
                  <c:v>250800018</c:v>
                </c:pt>
                <c:pt idx="417">
                  <c:v>250800019</c:v>
                </c:pt>
                <c:pt idx="419">
                  <c:v>250800020</c:v>
                </c:pt>
                <c:pt idx="420">
                  <c:v>250800021</c:v>
                </c:pt>
                <c:pt idx="421">
                  <c:v>250800022</c:v>
                </c:pt>
                <c:pt idx="422">
                  <c:v>250800023</c:v>
                </c:pt>
                <c:pt idx="423">
                  <c:v>250800024</c:v>
                </c:pt>
                <c:pt idx="424">
                  <c:v>250800025</c:v>
                </c:pt>
                <c:pt idx="425">
                  <c:v>250800026</c:v>
                </c:pt>
                <c:pt idx="426">
                  <c:v>250800027</c:v>
                </c:pt>
                <c:pt idx="427">
                  <c:v>250800028</c:v>
                </c:pt>
                <c:pt idx="428">
                  <c:v>250800029</c:v>
                </c:pt>
                <c:pt idx="433">
                  <c:v>250800030</c:v>
                </c:pt>
                <c:pt idx="438">
                  <c:v>250800031</c:v>
                </c:pt>
                <c:pt idx="443">
                  <c:v>250800032</c:v>
                </c:pt>
                <c:pt idx="449">
                  <c:v>250800033</c:v>
                </c:pt>
                <c:pt idx="451">
                  <c:v>250800034</c:v>
                </c:pt>
                <c:pt idx="453">
                  <c:v>250800035</c:v>
                </c:pt>
                <c:pt idx="456">
                  <c:v>250800036</c:v>
                </c:pt>
                <c:pt idx="463">
                  <c:v>250800037</c:v>
                </c:pt>
                <c:pt idx="464">
                  <c:v>250800038</c:v>
                </c:pt>
                <c:pt idx="466">
                  <c:v>250800039</c:v>
                </c:pt>
                <c:pt idx="467">
                  <c:v>250800040</c:v>
                </c:pt>
                <c:pt idx="470">
                  <c:v>250800041</c:v>
                </c:pt>
                <c:pt idx="472">
                  <c:v>250800042</c:v>
                </c:pt>
                <c:pt idx="473">
                  <c:v>250800043</c:v>
                </c:pt>
                <c:pt idx="474">
                  <c:v>250800043</c:v>
                </c:pt>
                <c:pt idx="475">
                  <c:v>250800044</c:v>
                </c:pt>
                <c:pt idx="478">
                  <c:v>250800045</c:v>
                </c:pt>
                <c:pt idx="480">
                  <c:v>250800046</c:v>
                </c:pt>
                <c:pt idx="481">
                  <c:v>250800047</c:v>
                </c:pt>
                <c:pt idx="482">
                  <c:v>250800048</c:v>
                </c:pt>
                <c:pt idx="483">
                  <c:v>250800049</c:v>
                </c:pt>
                <c:pt idx="488">
                  <c:v>250800050</c:v>
                </c:pt>
                <c:pt idx="490">
                  <c:v>250800051</c:v>
                </c:pt>
                <c:pt idx="494">
                  <c:v>250800052</c:v>
                </c:pt>
                <c:pt idx="495">
                  <c:v>250800053</c:v>
                </c:pt>
                <c:pt idx="496">
                  <c:v>250800054</c:v>
                </c:pt>
                <c:pt idx="497">
                  <c:v>250800055</c:v>
                </c:pt>
                <c:pt idx="498">
                  <c:v>250800056</c:v>
                </c:pt>
                <c:pt idx="502">
                  <c:v>250800057</c:v>
                </c:pt>
                <c:pt idx="505">
                  <c:v>250800058</c:v>
                </c:pt>
                <c:pt idx="507">
                  <c:v>250800059</c:v>
                </c:pt>
                <c:pt idx="508">
                  <c:v>250800060</c:v>
                </c:pt>
                <c:pt idx="509">
                  <c:v>250801061</c:v>
                </c:pt>
                <c:pt idx="510">
                  <c:v>250802061</c:v>
                </c:pt>
                <c:pt idx="511">
                  <c:v>250803061</c:v>
                </c:pt>
                <c:pt idx="512">
                  <c:v>250804061</c:v>
                </c:pt>
                <c:pt idx="513">
                  <c:v>250800062</c:v>
                </c:pt>
                <c:pt idx="514">
                  <c:v>250800063</c:v>
                </c:pt>
                <c:pt idx="518">
                  <c:v>250800064</c:v>
                </c:pt>
                <c:pt idx="519">
                  <c:v>250800065</c:v>
                </c:pt>
                <c:pt idx="521">
                  <c:v>250800066</c:v>
                </c:pt>
                <c:pt idx="523">
                  <c:v>250800067</c:v>
                </c:pt>
                <c:pt idx="525">
                  <c:v>250800069</c:v>
                </c:pt>
                <c:pt idx="526">
                  <c:v>250800070</c:v>
                </c:pt>
                <c:pt idx="528">
                  <c:v>250801071</c:v>
                </c:pt>
                <c:pt idx="529">
                  <c:v>250802071</c:v>
                </c:pt>
                <c:pt idx="530">
                  <c:v>250803071</c:v>
                </c:pt>
                <c:pt idx="531">
                  <c:v>250804071</c:v>
                </c:pt>
                <c:pt idx="532">
                  <c:v>250805071</c:v>
                </c:pt>
                <c:pt idx="533">
                  <c:v>250800072</c:v>
                </c:pt>
                <c:pt idx="534">
                  <c:v>250800073</c:v>
                </c:pt>
                <c:pt idx="538">
                  <c:v>250800074</c:v>
                </c:pt>
                <c:pt idx="541">
                  <c:v>250801075</c:v>
                </c:pt>
                <c:pt idx="542">
                  <c:v>250802075</c:v>
                </c:pt>
                <c:pt idx="543">
                  <c:v>250803075</c:v>
                </c:pt>
                <c:pt idx="544">
                  <c:v>250804075</c:v>
                </c:pt>
                <c:pt idx="545">
                  <c:v>250800076</c:v>
                </c:pt>
                <c:pt idx="547">
                  <c:v>250800077</c:v>
                </c:pt>
                <c:pt idx="549">
                  <c:v>250800078</c:v>
                </c:pt>
                <c:pt idx="551">
                  <c:v>250800079</c:v>
                </c:pt>
                <c:pt idx="553">
                  <c:v>250800080</c:v>
                </c:pt>
                <c:pt idx="555">
                  <c:v>250800081</c:v>
                </c:pt>
                <c:pt idx="557">
                  <c:v>250800082</c:v>
                </c:pt>
                <c:pt idx="559">
                  <c:v>250801083</c:v>
                </c:pt>
                <c:pt idx="560">
                  <c:v>250802083</c:v>
                </c:pt>
                <c:pt idx="561">
                  <c:v>250803083</c:v>
                </c:pt>
                <c:pt idx="562">
                  <c:v>250804083</c:v>
                </c:pt>
                <c:pt idx="563">
                  <c:v>250805083</c:v>
                </c:pt>
                <c:pt idx="564">
                  <c:v>250806083</c:v>
                </c:pt>
                <c:pt idx="565">
                  <c:v>250800085</c:v>
                </c:pt>
                <c:pt idx="568">
                  <c:v>250800086</c:v>
                </c:pt>
                <c:pt idx="569">
                  <c:v>250800087</c:v>
                </c:pt>
                <c:pt idx="570">
                  <c:v>250800088</c:v>
                </c:pt>
                <c:pt idx="572">
                  <c:v>250800089</c:v>
                </c:pt>
                <c:pt idx="573">
                  <c:v>250800090</c:v>
                </c:pt>
                <c:pt idx="574">
                  <c:v>250800091</c:v>
                </c:pt>
                <c:pt idx="578">
                  <c:v>250800092</c:v>
                </c:pt>
                <c:pt idx="579">
                  <c:v>250800093</c:v>
                </c:pt>
                <c:pt idx="582">
                  <c:v>250800094</c:v>
                </c:pt>
                <c:pt idx="583">
                  <c:v>250800095</c:v>
                </c:pt>
                <c:pt idx="585">
                  <c:v>250800096</c:v>
                </c:pt>
                <c:pt idx="586">
                  <c:v>250800097</c:v>
                </c:pt>
                <c:pt idx="591">
                  <c:v>250800098</c:v>
                </c:pt>
                <c:pt idx="592">
                  <c:v>250800099</c:v>
                </c:pt>
                <c:pt idx="594">
                  <c:v>250800100</c:v>
                </c:pt>
                <c:pt idx="595">
                  <c:v>250800101</c:v>
                </c:pt>
                <c:pt idx="599">
                  <c:v>250800102</c:v>
                </c:pt>
                <c:pt idx="603">
                  <c:v>250800103</c:v>
                </c:pt>
                <c:pt idx="607">
                  <c:v>250800104</c:v>
                </c:pt>
                <c:pt idx="611">
                  <c:v>250800105</c:v>
                </c:pt>
                <c:pt idx="615">
                  <c:v>250800106</c:v>
                </c:pt>
                <c:pt idx="617">
                  <c:v>250800107</c:v>
                </c:pt>
                <c:pt idx="619">
                  <c:v>250801108</c:v>
                </c:pt>
                <c:pt idx="620">
                  <c:v>250802108</c:v>
                </c:pt>
                <c:pt idx="621">
                  <c:v>250803108</c:v>
                </c:pt>
                <c:pt idx="622">
                  <c:v>250801109</c:v>
                </c:pt>
                <c:pt idx="623">
                  <c:v>250802109</c:v>
                </c:pt>
                <c:pt idx="624">
                  <c:v>250803109</c:v>
                </c:pt>
                <c:pt idx="625">
                  <c:v>250800110</c:v>
                </c:pt>
              </c:numCache>
            </c:numRef>
          </c:cat>
          <c:val>
            <c:numRef>
              <c:f>Sheet1!$R$2:$R$629</c:f>
              <c:numCache>
                <c:formatCode>_-"Rp"* #,##0_-;\-"Rp"* #,##0_-;_-"Rp"* "-"??_-;_-@</c:formatCode>
                <c:ptCount val="628"/>
                <c:pt idx="0">
                  <c:v>26000</c:v>
                </c:pt>
                <c:pt idx="1">
                  <c:v>175000</c:v>
                </c:pt>
                <c:pt idx="4">
                  <c:v>35000</c:v>
                </c:pt>
                <c:pt idx="5">
                  <c:v>142000</c:v>
                </c:pt>
                <c:pt idx="6">
                  <c:v>307000</c:v>
                </c:pt>
                <c:pt idx="8">
                  <c:v>164001</c:v>
                </c:pt>
                <c:pt idx="9">
                  <c:v>164001</c:v>
                </c:pt>
                <c:pt idx="10">
                  <c:v>338001</c:v>
                </c:pt>
                <c:pt idx="12">
                  <c:v>895000</c:v>
                </c:pt>
                <c:pt idx="14">
                  <c:v>107001</c:v>
                </c:pt>
                <c:pt idx="15">
                  <c:v>95000</c:v>
                </c:pt>
                <c:pt idx="16">
                  <c:v>616000</c:v>
                </c:pt>
                <c:pt idx="18">
                  <c:v>140000</c:v>
                </c:pt>
                <c:pt idx="19">
                  <c:v>479081</c:v>
                </c:pt>
                <c:pt idx="25">
                  <c:v>1236390</c:v>
                </c:pt>
                <c:pt idx="29">
                  <c:v>478730</c:v>
                </c:pt>
                <c:pt idx="32">
                  <c:v>239151</c:v>
                </c:pt>
                <c:pt idx="35">
                  <c:v>1502000</c:v>
                </c:pt>
                <c:pt idx="40">
                  <c:v>481500</c:v>
                </c:pt>
                <c:pt idx="43">
                  <c:v>462000</c:v>
                </c:pt>
                <c:pt idx="46">
                  <c:v>3260999</c:v>
                </c:pt>
                <c:pt idx="51">
                  <c:v>1062000</c:v>
                </c:pt>
                <c:pt idx="54">
                  <c:v>203000</c:v>
                </c:pt>
                <c:pt idx="55">
                  <c:v>2300000</c:v>
                </c:pt>
                <c:pt idx="64">
                  <c:v>590935</c:v>
                </c:pt>
                <c:pt idx="68">
                  <c:v>140000</c:v>
                </c:pt>
                <c:pt idx="72">
                  <c:v>70000</c:v>
                </c:pt>
                <c:pt idx="74">
                  <c:v>144001</c:v>
                </c:pt>
                <c:pt idx="75">
                  <c:v>947000</c:v>
                </c:pt>
                <c:pt idx="79">
                  <c:v>257500</c:v>
                </c:pt>
                <c:pt idx="80">
                  <c:v>645000</c:v>
                </c:pt>
                <c:pt idx="83">
                  <c:v>2471500</c:v>
                </c:pt>
                <c:pt idx="87">
                  <c:v>1550000</c:v>
                </c:pt>
                <c:pt idx="91">
                  <c:v>1950000</c:v>
                </c:pt>
                <c:pt idx="95">
                  <c:v>815000</c:v>
                </c:pt>
                <c:pt idx="98">
                  <c:v>0</c:v>
                </c:pt>
                <c:pt idx="100">
                  <c:v>426048</c:v>
                </c:pt>
                <c:pt idx="102">
                  <c:v>32000</c:v>
                </c:pt>
                <c:pt idx="104">
                  <c:v>278001</c:v>
                </c:pt>
                <c:pt idx="106">
                  <c:v>145000</c:v>
                </c:pt>
                <c:pt idx="109">
                  <c:v>650000</c:v>
                </c:pt>
                <c:pt idx="112">
                  <c:v>34000</c:v>
                </c:pt>
                <c:pt idx="113">
                  <c:v>0</c:v>
                </c:pt>
                <c:pt idx="117">
                  <c:v>210000</c:v>
                </c:pt>
                <c:pt idx="121">
                  <c:v>100000</c:v>
                </c:pt>
                <c:pt idx="123">
                  <c:v>5205564</c:v>
                </c:pt>
                <c:pt idx="126">
                  <c:v>13315565</c:v>
                </c:pt>
                <c:pt idx="129">
                  <c:v>115000</c:v>
                </c:pt>
                <c:pt idx="133">
                  <c:v>25000</c:v>
                </c:pt>
                <c:pt idx="135">
                  <c:v>190000</c:v>
                </c:pt>
                <c:pt idx="136">
                  <c:v>310000</c:v>
                </c:pt>
                <c:pt idx="137">
                  <c:v>100000</c:v>
                </c:pt>
                <c:pt idx="139">
                  <c:v>424000</c:v>
                </c:pt>
                <c:pt idx="141">
                  <c:v>562000</c:v>
                </c:pt>
                <c:pt idx="145">
                  <c:v>45001</c:v>
                </c:pt>
                <c:pt idx="146">
                  <c:v>134500</c:v>
                </c:pt>
                <c:pt idx="147">
                  <c:v>350000</c:v>
                </c:pt>
                <c:pt idx="148">
                  <c:v>439001</c:v>
                </c:pt>
                <c:pt idx="150">
                  <c:v>68001</c:v>
                </c:pt>
                <c:pt idx="151">
                  <c:v>4389500</c:v>
                </c:pt>
                <c:pt idx="156">
                  <c:v>100000</c:v>
                </c:pt>
                <c:pt idx="157" formatCode="_-&quot;Rp&quot;* #,##0_-;\-&quot;Rp&quot;* #,##0_-;_-&quot;Rp&quot;* &quot;-&quot;_-;_-@">
                  <c:v>2809000</c:v>
                </c:pt>
                <c:pt idx="161">
                  <c:v>75000</c:v>
                </c:pt>
                <c:pt idx="162">
                  <c:v>335000</c:v>
                </c:pt>
                <c:pt idx="163">
                  <c:v>600000</c:v>
                </c:pt>
                <c:pt idx="165">
                  <c:v>200000</c:v>
                </c:pt>
                <c:pt idx="167">
                  <c:v>87000</c:v>
                </c:pt>
                <c:pt idx="168">
                  <c:v>302715</c:v>
                </c:pt>
                <c:pt idx="173">
                  <c:v>421834</c:v>
                </c:pt>
                <c:pt idx="177">
                  <c:v>607730</c:v>
                </c:pt>
                <c:pt idx="180">
                  <c:v>725001</c:v>
                </c:pt>
                <c:pt idx="183">
                  <c:v>86001</c:v>
                </c:pt>
                <c:pt idx="184">
                  <c:v>0</c:v>
                </c:pt>
                <c:pt idx="190">
                  <c:v>658000</c:v>
                </c:pt>
                <c:pt idx="191">
                  <c:v>42501</c:v>
                </c:pt>
                <c:pt idx="192">
                  <c:v>75000</c:v>
                </c:pt>
                <c:pt idx="194">
                  <c:v>305000</c:v>
                </c:pt>
                <c:pt idx="198">
                  <c:v>1510004</c:v>
                </c:pt>
                <c:pt idx="206">
                  <c:v>490000</c:v>
                </c:pt>
                <c:pt idx="208">
                  <c:v>200000</c:v>
                </c:pt>
                <c:pt idx="209">
                  <c:v>1272390</c:v>
                </c:pt>
                <c:pt idx="212">
                  <c:v>320000</c:v>
                </c:pt>
                <c:pt idx="213">
                  <c:v>50000</c:v>
                </c:pt>
                <c:pt idx="214">
                  <c:v>1853000</c:v>
                </c:pt>
                <c:pt idx="218">
                  <c:v>80000</c:v>
                </c:pt>
                <c:pt idx="219">
                  <c:v>536000</c:v>
                </c:pt>
                <c:pt idx="220">
                  <c:v>744000</c:v>
                </c:pt>
                <c:pt idx="222">
                  <c:v>259955</c:v>
                </c:pt>
                <c:pt idx="224">
                  <c:v>1009000</c:v>
                </c:pt>
                <c:pt idx="226">
                  <c:v>960000</c:v>
                </c:pt>
                <c:pt idx="228">
                  <c:v>464000</c:v>
                </c:pt>
                <c:pt idx="230">
                  <c:v>610000</c:v>
                </c:pt>
                <c:pt idx="232">
                  <c:v>991000</c:v>
                </c:pt>
                <c:pt idx="234">
                  <c:v>738000</c:v>
                </c:pt>
                <c:pt idx="236">
                  <c:v>732000</c:v>
                </c:pt>
                <c:pt idx="238">
                  <c:v>476000</c:v>
                </c:pt>
                <c:pt idx="240">
                  <c:v>470000</c:v>
                </c:pt>
                <c:pt idx="242">
                  <c:v>500000</c:v>
                </c:pt>
                <c:pt idx="244">
                  <c:v>714000</c:v>
                </c:pt>
                <c:pt idx="246">
                  <c:v>935000</c:v>
                </c:pt>
                <c:pt idx="248">
                  <c:v>801000</c:v>
                </c:pt>
                <c:pt idx="250">
                  <c:v>861000</c:v>
                </c:pt>
                <c:pt idx="252">
                  <c:v>180500</c:v>
                </c:pt>
                <c:pt idx="257">
                  <c:v>89000</c:v>
                </c:pt>
                <c:pt idx="258">
                  <c:v>420001</c:v>
                </c:pt>
                <c:pt idx="260">
                  <c:v>420000</c:v>
                </c:pt>
                <c:pt idx="263">
                  <c:v>750000</c:v>
                </c:pt>
                <c:pt idx="266">
                  <c:v>290001</c:v>
                </c:pt>
                <c:pt idx="268">
                  <c:v>75000</c:v>
                </c:pt>
                <c:pt idx="269">
                  <c:v>300000</c:v>
                </c:pt>
                <c:pt idx="272">
                  <c:v>175000</c:v>
                </c:pt>
                <c:pt idx="273">
                  <c:v>1317096</c:v>
                </c:pt>
                <c:pt idx="277">
                  <c:v>328001</c:v>
                </c:pt>
                <c:pt idx="279">
                  <c:v>318001</c:v>
                </c:pt>
                <c:pt idx="281">
                  <c:v>219000</c:v>
                </c:pt>
                <c:pt idx="283">
                  <c:v>61000</c:v>
                </c:pt>
                <c:pt idx="284">
                  <c:v>263000</c:v>
                </c:pt>
                <c:pt idx="286">
                  <c:v>121000</c:v>
                </c:pt>
                <c:pt idx="288">
                  <c:v>454000</c:v>
                </c:pt>
                <c:pt idx="289">
                  <c:v>440000</c:v>
                </c:pt>
                <c:pt idx="290">
                  <c:v>115500</c:v>
                </c:pt>
                <c:pt idx="292">
                  <c:v>105000</c:v>
                </c:pt>
                <c:pt idx="293">
                  <c:v>270000</c:v>
                </c:pt>
                <c:pt idx="294">
                  <c:v>154000</c:v>
                </c:pt>
                <c:pt idx="295">
                  <c:v>420000</c:v>
                </c:pt>
                <c:pt idx="299">
                  <c:v>0</c:v>
                </c:pt>
                <c:pt idx="300">
                  <c:v>833033</c:v>
                </c:pt>
                <c:pt idx="303">
                  <c:v>170000</c:v>
                </c:pt>
                <c:pt idx="306">
                  <c:v>420000</c:v>
                </c:pt>
                <c:pt idx="309">
                  <c:v>836000</c:v>
                </c:pt>
                <c:pt idx="311">
                  <c:v>772001</c:v>
                </c:pt>
                <c:pt idx="313">
                  <c:v>195000</c:v>
                </c:pt>
                <c:pt idx="314">
                  <c:v>494730</c:v>
                </c:pt>
                <c:pt idx="317">
                  <c:v>456048</c:v>
                </c:pt>
                <c:pt idx="319">
                  <c:v>108000</c:v>
                </c:pt>
                <c:pt idx="321">
                  <c:v>370000</c:v>
                </c:pt>
                <c:pt idx="327">
                  <c:v>191500</c:v>
                </c:pt>
                <c:pt idx="328">
                  <c:v>84000</c:v>
                </c:pt>
                <c:pt idx="329">
                  <c:v>225000</c:v>
                </c:pt>
                <c:pt idx="330">
                  <c:v>7500</c:v>
                </c:pt>
                <c:pt idx="331">
                  <c:v>260000</c:v>
                </c:pt>
                <c:pt idx="332">
                  <c:v>375000</c:v>
                </c:pt>
                <c:pt idx="333">
                  <c:v>20500</c:v>
                </c:pt>
                <c:pt idx="334">
                  <c:v>90500</c:v>
                </c:pt>
                <c:pt idx="335">
                  <c:v>375000</c:v>
                </c:pt>
                <c:pt idx="336">
                  <c:v>128000</c:v>
                </c:pt>
                <c:pt idx="338">
                  <c:v>259000</c:v>
                </c:pt>
                <c:pt idx="340">
                  <c:v>100000</c:v>
                </c:pt>
                <c:pt idx="342">
                  <c:v>803000</c:v>
                </c:pt>
                <c:pt idx="344">
                  <c:v>83001</c:v>
                </c:pt>
                <c:pt idx="345">
                  <c:v>18001</c:v>
                </c:pt>
                <c:pt idx="346">
                  <c:v>54501</c:v>
                </c:pt>
                <c:pt idx="347">
                  <c:v>100000</c:v>
                </c:pt>
                <c:pt idx="348">
                  <c:v>45000</c:v>
                </c:pt>
                <c:pt idx="349">
                  <c:v>50000</c:v>
                </c:pt>
                <c:pt idx="350">
                  <c:v>107001</c:v>
                </c:pt>
                <c:pt idx="351">
                  <c:v>26001</c:v>
                </c:pt>
                <c:pt idx="352">
                  <c:v>104000</c:v>
                </c:pt>
                <c:pt idx="353">
                  <c:v>75000</c:v>
                </c:pt>
                <c:pt idx="354">
                  <c:v>125000</c:v>
                </c:pt>
                <c:pt idx="355">
                  <c:v>75000</c:v>
                </c:pt>
                <c:pt idx="356">
                  <c:v>182500</c:v>
                </c:pt>
                <c:pt idx="358">
                  <c:v>150000</c:v>
                </c:pt>
                <c:pt idx="359">
                  <c:v>122000</c:v>
                </c:pt>
                <c:pt idx="360">
                  <c:v>155000</c:v>
                </c:pt>
                <c:pt idx="362">
                  <c:v>962500</c:v>
                </c:pt>
                <c:pt idx="365">
                  <c:v>767500</c:v>
                </c:pt>
                <c:pt idx="368">
                  <c:v>64776</c:v>
                </c:pt>
                <c:pt idx="371">
                  <c:v>1790000</c:v>
                </c:pt>
                <c:pt idx="375">
                  <c:v>69000</c:v>
                </c:pt>
                <c:pt idx="376">
                  <c:v>313000</c:v>
                </c:pt>
                <c:pt idx="378">
                  <c:v>72001</c:v>
                </c:pt>
                <c:pt idx="379">
                  <c:v>89001</c:v>
                </c:pt>
                <c:pt idx="380">
                  <c:v>1965000</c:v>
                </c:pt>
                <c:pt idx="382">
                  <c:v>1934000</c:v>
                </c:pt>
                <c:pt idx="384">
                  <c:v>254001</c:v>
                </c:pt>
                <c:pt idx="386">
                  <c:v>201001</c:v>
                </c:pt>
                <c:pt idx="387">
                  <c:v>195000</c:v>
                </c:pt>
                <c:pt idx="388">
                  <c:v>123000</c:v>
                </c:pt>
                <c:pt idx="389">
                  <c:v>217000</c:v>
                </c:pt>
                <c:pt idx="395">
                  <c:v>355000</c:v>
                </c:pt>
                <c:pt idx="398">
                  <c:v>1775000</c:v>
                </c:pt>
                <c:pt idx="402">
                  <c:v>100000</c:v>
                </c:pt>
                <c:pt idx="403">
                  <c:v>300000</c:v>
                </c:pt>
                <c:pt idx="404">
                  <c:v>70000</c:v>
                </c:pt>
                <c:pt idx="408">
                  <c:v>1631890</c:v>
                </c:pt>
                <c:pt idx="411">
                  <c:v>64001</c:v>
                </c:pt>
                <c:pt idx="412">
                  <c:v>2972683</c:v>
                </c:pt>
                <c:pt idx="415">
                  <c:v>320001</c:v>
                </c:pt>
                <c:pt idx="417">
                  <c:v>650000</c:v>
                </c:pt>
                <c:pt idx="419">
                  <c:v>722000</c:v>
                </c:pt>
                <c:pt idx="420">
                  <c:v>59000</c:v>
                </c:pt>
                <c:pt idx="421">
                  <c:v>35500</c:v>
                </c:pt>
                <c:pt idx="422">
                  <c:v>188000</c:v>
                </c:pt>
                <c:pt idx="423">
                  <c:v>240000</c:v>
                </c:pt>
                <c:pt idx="424">
                  <c:v>158001</c:v>
                </c:pt>
                <c:pt idx="425">
                  <c:v>139001</c:v>
                </c:pt>
                <c:pt idx="426">
                  <c:v>129001</c:v>
                </c:pt>
                <c:pt idx="427">
                  <c:v>7000</c:v>
                </c:pt>
                <c:pt idx="428">
                  <c:v>2133605</c:v>
                </c:pt>
                <c:pt idx="433">
                  <c:v>1434572</c:v>
                </c:pt>
                <c:pt idx="438">
                  <c:v>1410371</c:v>
                </c:pt>
                <c:pt idx="443">
                  <c:v>972313</c:v>
                </c:pt>
                <c:pt idx="449">
                  <c:v>496048</c:v>
                </c:pt>
                <c:pt idx="451">
                  <c:v>328001</c:v>
                </c:pt>
                <c:pt idx="453">
                  <c:v>561001</c:v>
                </c:pt>
                <c:pt idx="456">
                  <c:v>3932000</c:v>
                </c:pt>
                <c:pt idx="463">
                  <c:v>287000</c:v>
                </c:pt>
                <c:pt idx="464">
                  <c:v>353001</c:v>
                </c:pt>
                <c:pt idx="466">
                  <c:v>114001</c:v>
                </c:pt>
                <c:pt idx="467">
                  <c:v>587001</c:v>
                </c:pt>
                <c:pt idx="470">
                  <c:v>424001</c:v>
                </c:pt>
                <c:pt idx="472">
                  <c:v>114001</c:v>
                </c:pt>
                <c:pt idx="473">
                  <c:v>389001</c:v>
                </c:pt>
                <c:pt idx="475">
                  <c:v>627001</c:v>
                </c:pt>
                <c:pt idx="478">
                  <c:v>305000</c:v>
                </c:pt>
                <c:pt idx="480">
                  <c:v>623083</c:v>
                </c:pt>
                <c:pt idx="481">
                  <c:v>648083</c:v>
                </c:pt>
                <c:pt idx="482">
                  <c:v>493583</c:v>
                </c:pt>
                <c:pt idx="483">
                  <c:v>1915000</c:v>
                </c:pt>
                <c:pt idx="488">
                  <c:v>255001</c:v>
                </c:pt>
                <c:pt idx="490">
                  <c:v>2214635</c:v>
                </c:pt>
                <c:pt idx="494">
                  <c:v>87000</c:v>
                </c:pt>
                <c:pt idx="495">
                  <c:v>125000</c:v>
                </c:pt>
                <c:pt idx="496">
                  <c:v>67375</c:v>
                </c:pt>
                <c:pt idx="497">
                  <c:v>132875</c:v>
                </c:pt>
                <c:pt idx="498">
                  <c:v>1472000</c:v>
                </c:pt>
                <c:pt idx="502">
                  <c:v>1399286</c:v>
                </c:pt>
                <c:pt idx="505">
                  <c:v>110000</c:v>
                </c:pt>
                <c:pt idx="508">
                  <c:v>1669000</c:v>
                </c:pt>
                <c:pt idx="509">
                  <c:v>908000</c:v>
                </c:pt>
                <c:pt idx="514">
                  <c:v>392000</c:v>
                </c:pt>
                <c:pt idx="518">
                  <c:v>20000</c:v>
                </c:pt>
                <c:pt idx="519">
                  <c:v>319000</c:v>
                </c:pt>
                <c:pt idx="521">
                  <c:v>337000</c:v>
                </c:pt>
                <c:pt idx="523">
                  <c:v>210000</c:v>
                </c:pt>
                <c:pt idx="525">
                  <c:v>153000</c:v>
                </c:pt>
                <c:pt idx="526">
                  <c:v>247001</c:v>
                </c:pt>
                <c:pt idx="528">
                  <c:v>854260</c:v>
                </c:pt>
                <c:pt idx="529">
                  <c:v>854260</c:v>
                </c:pt>
                <c:pt idx="530">
                  <c:v>854260</c:v>
                </c:pt>
                <c:pt idx="531">
                  <c:v>854260</c:v>
                </c:pt>
                <c:pt idx="532">
                  <c:v>854260</c:v>
                </c:pt>
                <c:pt idx="533">
                  <c:v>228000</c:v>
                </c:pt>
                <c:pt idx="534">
                  <c:v>2209500</c:v>
                </c:pt>
                <c:pt idx="538">
                  <c:v>2510000</c:v>
                </c:pt>
                <c:pt idx="541">
                  <c:v>208500</c:v>
                </c:pt>
                <c:pt idx="542">
                  <c:v>208500</c:v>
                </c:pt>
                <c:pt idx="543">
                  <c:v>208500</c:v>
                </c:pt>
                <c:pt idx="544">
                  <c:v>208500</c:v>
                </c:pt>
                <c:pt idx="545">
                  <c:v>446000</c:v>
                </c:pt>
                <c:pt idx="547">
                  <c:v>341000</c:v>
                </c:pt>
                <c:pt idx="549">
                  <c:v>396000</c:v>
                </c:pt>
                <c:pt idx="551">
                  <c:v>421000</c:v>
                </c:pt>
                <c:pt idx="553">
                  <c:v>366000</c:v>
                </c:pt>
                <c:pt idx="555">
                  <c:v>475000</c:v>
                </c:pt>
                <c:pt idx="557">
                  <c:v>647000</c:v>
                </c:pt>
                <c:pt idx="559">
                  <c:v>815000</c:v>
                </c:pt>
                <c:pt idx="560">
                  <c:v>819000</c:v>
                </c:pt>
                <c:pt idx="561">
                  <c:v>840000</c:v>
                </c:pt>
                <c:pt idx="562">
                  <c:v>818000</c:v>
                </c:pt>
                <c:pt idx="563">
                  <c:v>690000</c:v>
                </c:pt>
                <c:pt idx="564">
                  <c:v>690000</c:v>
                </c:pt>
                <c:pt idx="565">
                  <c:v>3850000</c:v>
                </c:pt>
                <c:pt idx="568">
                  <c:v>410000</c:v>
                </c:pt>
                <c:pt idx="569">
                  <c:v>150000</c:v>
                </c:pt>
                <c:pt idx="570">
                  <c:v>50000</c:v>
                </c:pt>
                <c:pt idx="572">
                  <c:v>61000</c:v>
                </c:pt>
                <c:pt idx="573">
                  <c:v>292000</c:v>
                </c:pt>
                <c:pt idx="574">
                  <c:v>850000</c:v>
                </c:pt>
                <c:pt idx="578">
                  <c:v>130000</c:v>
                </c:pt>
                <c:pt idx="579">
                  <c:v>1054000</c:v>
                </c:pt>
                <c:pt idx="582">
                  <c:v>135000</c:v>
                </c:pt>
                <c:pt idx="583">
                  <c:v>640000</c:v>
                </c:pt>
                <c:pt idx="585">
                  <c:v>340000</c:v>
                </c:pt>
                <c:pt idx="586">
                  <c:v>545000</c:v>
                </c:pt>
                <c:pt idx="592">
                  <c:v>350000</c:v>
                </c:pt>
                <c:pt idx="594">
                  <c:v>50000</c:v>
                </c:pt>
                <c:pt idx="595">
                  <c:v>170000</c:v>
                </c:pt>
                <c:pt idx="599">
                  <c:v>1801000</c:v>
                </c:pt>
                <c:pt idx="603">
                  <c:v>1786000</c:v>
                </c:pt>
                <c:pt idx="607">
                  <c:v>1519000</c:v>
                </c:pt>
                <c:pt idx="611">
                  <c:v>1670000</c:v>
                </c:pt>
                <c:pt idx="615">
                  <c:v>670500</c:v>
                </c:pt>
                <c:pt idx="617">
                  <c:v>266100</c:v>
                </c:pt>
                <c:pt idx="619">
                  <c:v>471000</c:v>
                </c:pt>
                <c:pt idx="620">
                  <c:v>471000</c:v>
                </c:pt>
                <c:pt idx="621">
                  <c:v>613500</c:v>
                </c:pt>
                <c:pt idx="622">
                  <c:v>471000</c:v>
                </c:pt>
                <c:pt idx="623">
                  <c:v>586500</c:v>
                </c:pt>
                <c:pt idx="624">
                  <c:v>613500</c:v>
                </c:pt>
                <c:pt idx="625">
                  <c:v>1005000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3B7-4365-B0FA-4FDEDDB05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166438"/>
        <c:axId val="1595658736"/>
      </c:barChart>
      <c:catAx>
        <c:axId val="1736166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5658736"/>
        <c:crosses val="autoZero"/>
        <c:auto val="1"/>
        <c:lblAlgn val="ctr"/>
        <c:lblOffset val="100"/>
        <c:noMultiLvlLbl val="1"/>
      </c:catAx>
      <c:valAx>
        <c:axId val="1595658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61664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1092354525" name="Chart 1">
          <a:extLst>
            <a:ext uri="{FF2B5EF4-FFF2-40B4-BE49-F238E27FC236}">
              <a16:creationId xmlns:a16="http://schemas.microsoft.com/office/drawing/2014/main" id="{00000000-0008-0000-0000-0000DD011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2"/>
  <sheetViews>
    <sheetView tabSelected="1" topLeftCell="A497" zoomScale="63" zoomScaleNormal="40" workbookViewId="0">
      <selection activeCell="H525" sqref="H525:H526"/>
    </sheetView>
  </sheetViews>
  <sheetFormatPr defaultColWidth="14.453125" defaultRowHeight="15" customHeight="1"/>
  <cols>
    <col min="1" max="1" width="14.7265625" customWidth="1"/>
    <col min="2" max="2" width="22.08984375" customWidth="1"/>
    <col min="3" max="3" width="17.7265625" customWidth="1"/>
    <col min="4" max="4" width="20" customWidth="1"/>
    <col min="5" max="6" width="17.54296875" customWidth="1"/>
    <col min="7" max="7" width="20.54296875" customWidth="1"/>
    <col min="8" max="9" width="21.54296875" customWidth="1"/>
    <col min="10" max="10" width="50.453125" customWidth="1"/>
    <col min="11" max="11" width="21.81640625" customWidth="1"/>
    <col min="12" max="12" width="23.54296875" customWidth="1"/>
    <col min="13" max="13" width="19.08984375" customWidth="1"/>
    <col min="14" max="15" width="23.453125" customWidth="1"/>
    <col min="16" max="16" width="26.453125" customWidth="1"/>
    <col min="17" max="17" width="27.81640625" customWidth="1"/>
    <col min="18" max="18" width="20.54296875" customWidth="1"/>
    <col min="19" max="27" width="8.7265625" customWidth="1"/>
  </cols>
  <sheetData>
    <row r="1" spans="1:18" ht="14.25" customHeight="1">
      <c r="A1" s="1" t="s">
        <v>389</v>
      </c>
      <c r="B1" s="2" t="s">
        <v>0</v>
      </c>
      <c r="C1" s="2" t="s">
        <v>388</v>
      </c>
      <c r="D1" s="2" t="s">
        <v>387</v>
      </c>
      <c r="E1" s="2" t="s">
        <v>393</v>
      </c>
      <c r="F1" s="2" t="s">
        <v>2</v>
      </c>
      <c r="G1" s="2" t="s">
        <v>3</v>
      </c>
      <c r="H1" s="3" t="s">
        <v>4</v>
      </c>
      <c r="I1" s="4" t="s">
        <v>5</v>
      </c>
      <c r="J1" s="5" t="s">
        <v>6</v>
      </c>
      <c r="K1" s="6" t="s">
        <v>7</v>
      </c>
      <c r="L1" s="6" t="s">
        <v>8</v>
      </c>
      <c r="M1" s="6" t="s">
        <v>9</v>
      </c>
      <c r="N1" s="7" t="s">
        <v>10</v>
      </c>
      <c r="O1" s="8" t="s">
        <v>11</v>
      </c>
      <c r="P1" s="7" t="s">
        <v>12</v>
      </c>
      <c r="Q1" s="7" t="s">
        <v>13</v>
      </c>
      <c r="R1" s="9" t="s">
        <v>14</v>
      </c>
    </row>
    <row r="2" spans="1:18" ht="14.25" customHeight="1">
      <c r="A2" s="10">
        <v>250900001</v>
      </c>
      <c r="B2" s="10" t="s">
        <v>370</v>
      </c>
      <c r="C2" s="10" t="s">
        <v>15</v>
      </c>
      <c r="D2" s="10" t="s">
        <v>379</v>
      </c>
      <c r="E2" s="10" t="s">
        <v>394</v>
      </c>
      <c r="F2" s="10" t="s">
        <v>16</v>
      </c>
      <c r="G2" s="10" t="s">
        <v>17</v>
      </c>
      <c r="H2" s="11">
        <v>45903</v>
      </c>
      <c r="I2" s="11">
        <v>45903</v>
      </c>
      <c r="J2" s="12" t="s">
        <v>18</v>
      </c>
      <c r="K2" s="13">
        <v>1100000</v>
      </c>
      <c r="L2" s="13">
        <v>400000</v>
      </c>
      <c r="M2" s="13">
        <v>225000</v>
      </c>
      <c r="N2" s="13">
        <v>220000</v>
      </c>
      <c r="O2" s="13">
        <v>229000</v>
      </c>
      <c r="P2" s="13">
        <v>0</v>
      </c>
      <c r="Q2" s="13"/>
      <c r="R2" s="14">
        <f>SUM(K2-L2-M2-N2-O2)</f>
        <v>26000</v>
      </c>
    </row>
    <row r="3" spans="1:18" ht="15" customHeight="1">
      <c r="A3" s="76">
        <v>250900002</v>
      </c>
      <c r="B3" s="76" t="s">
        <v>19</v>
      </c>
      <c r="C3" s="76" t="s">
        <v>20</v>
      </c>
      <c r="D3" s="76" t="s">
        <v>21</v>
      </c>
      <c r="E3" s="76" t="s">
        <v>394</v>
      </c>
      <c r="F3" s="76" t="s">
        <v>16</v>
      </c>
      <c r="G3" s="76" t="s">
        <v>22</v>
      </c>
      <c r="H3" s="92">
        <v>45904</v>
      </c>
      <c r="I3" s="92">
        <v>45906</v>
      </c>
      <c r="J3" s="113" t="s">
        <v>23</v>
      </c>
      <c r="K3" s="93">
        <v>2250000</v>
      </c>
      <c r="L3" s="93">
        <v>1200000</v>
      </c>
      <c r="M3" s="93">
        <v>505000</v>
      </c>
      <c r="N3" s="93">
        <v>270000</v>
      </c>
      <c r="O3" s="93">
        <v>0</v>
      </c>
      <c r="P3" s="93">
        <v>100000</v>
      </c>
      <c r="Q3" s="93" t="s">
        <v>24</v>
      </c>
      <c r="R3" s="96">
        <f>SUM(K3-L3-L4-M3-M4-N3-O3-P3)</f>
        <v>175000</v>
      </c>
    </row>
    <row r="4" spans="1:18" ht="1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94"/>
      <c r="L4" s="94"/>
      <c r="M4" s="94"/>
      <c r="N4" s="94"/>
      <c r="O4" s="94"/>
      <c r="P4" s="94"/>
      <c r="Q4" s="94"/>
      <c r="R4" s="97"/>
    </row>
    <row r="5" spans="1:18" ht="15" customHeight="1">
      <c r="A5" s="77"/>
      <c r="B5" s="77"/>
      <c r="C5" s="77"/>
      <c r="D5" s="77"/>
      <c r="E5" s="77"/>
      <c r="F5" s="77"/>
      <c r="G5" s="77"/>
      <c r="H5" s="77"/>
      <c r="I5" s="77"/>
      <c r="J5" s="87"/>
      <c r="K5" s="95"/>
      <c r="L5" s="95"/>
      <c r="M5" s="95"/>
      <c r="N5" s="95"/>
      <c r="O5" s="95"/>
      <c r="P5" s="94"/>
      <c r="Q5" s="95"/>
      <c r="R5" s="98"/>
    </row>
    <row r="6" spans="1:18" ht="14.25" customHeight="1">
      <c r="A6" s="10">
        <v>250900003</v>
      </c>
      <c r="B6" s="10" t="s">
        <v>19</v>
      </c>
      <c r="C6" s="10" t="s">
        <v>20</v>
      </c>
      <c r="D6" s="10" t="s">
        <v>21</v>
      </c>
      <c r="E6" s="10" t="s">
        <v>395</v>
      </c>
      <c r="F6" s="10" t="s">
        <v>25</v>
      </c>
      <c r="G6" s="10" t="s">
        <v>26</v>
      </c>
      <c r="H6" s="11">
        <v>45909</v>
      </c>
      <c r="I6" s="11">
        <v>45909</v>
      </c>
      <c r="J6" s="12" t="s">
        <v>27</v>
      </c>
      <c r="K6" s="70">
        <v>750000</v>
      </c>
      <c r="L6" s="70">
        <v>400000</v>
      </c>
      <c r="M6" s="71">
        <v>225000</v>
      </c>
      <c r="N6" s="70">
        <v>90000</v>
      </c>
      <c r="O6" s="70">
        <v>0</v>
      </c>
      <c r="P6" s="13">
        <v>0</v>
      </c>
      <c r="Q6" s="13">
        <v>0</v>
      </c>
      <c r="R6" s="72">
        <f>SUM(K6-L6-M6-N6-O6-P6)</f>
        <v>35000</v>
      </c>
    </row>
    <row r="7" spans="1:18" ht="14.25" customHeight="1">
      <c r="A7" s="10">
        <v>250900004</v>
      </c>
      <c r="B7" s="10" t="s">
        <v>373</v>
      </c>
      <c r="C7" s="10" t="s">
        <v>28</v>
      </c>
      <c r="D7" s="10" t="s">
        <v>29</v>
      </c>
      <c r="E7" s="10" t="s">
        <v>394</v>
      </c>
      <c r="F7" s="10" t="s">
        <v>16</v>
      </c>
      <c r="G7" s="10" t="s">
        <v>30</v>
      </c>
      <c r="H7" s="11">
        <v>45904</v>
      </c>
      <c r="I7" s="11">
        <v>45905</v>
      </c>
      <c r="J7" s="12" t="s">
        <v>31</v>
      </c>
      <c r="K7" s="13">
        <v>912000</v>
      </c>
      <c r="L7" s="13">
        <v>375000</v>
      </c>
      <c r="M7" s="18">
        <v>225000</v>
      </c>
      <c r="N7" s="13">
        <v>170000</v>
      </c>
      <c r="O7" s="13">
        <v>0</v>
      </c>
      <c r="P7" s="13">
        <v>0</v>
      </c>
      <c r="Q7" s="13">
        <v>0</v>
      </c>
      <c r="R7" s="14">
        <f>SUM(K7-L7-M7-N7-O7-Q11)</f>
        <v>142000</v>
      </c>
    </row>
    <row r="8" spans="1:18" ht="15" customHeight="1">
      <c r="A8" s="76">
        <v>250900005</v>
      </c>
      <c r="B8" s="76" t="s">
        <v>371</v>
      </c>
      <c r="C8" s="76" t="s">
        <v>32</v>
      </c>
      <c r="D8" s="76" t="s">
        <v>380</v>
      </c>
      <c r="E8" s="76" t="s">
        <v>394</v>
      </c>
      <c r="F8" s="76" t="s">
        <v>16</v>
      </c>
      <c r="G8" s="76" t="s">
        <v>17</v>
      </c>
      <c r="H8" s="92">
        <v>45904</v>
      </c>
      <c r="I8" s="92">
        <v>45905</v>
      </c>
      <c r="J8" s="113" t="s">
        <v>27</v>
      </c>
      <c r="K8" s="117">
        <v>1850000</v>
      </c>
      <c r="L8" s="117">
        <v>750000</v>
      </c>
      <c r="M8" s="117">
        <v>360000</v>
      </c>
      <c r="N8" s="117">
        <v>190000</v>
      </c>
      <c r="O8" s="117">
        <v>143000</v>
      </c>
      <c r="P8" s="117">
        <v>100000</v>
      </c>
      <c r="Q8" s="117" t="s">
        <v>33</v>
      </c>
      <c r="R8" s="125">
        <f>SUM(K8-L8-L9-M8-M9-N8-O8-P8)</f>
        <v>307000</v>
      </c>
    </row>
    <row r="9" spans="1:18" ht="15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</row>
    <row r="10" spans="1:18" ht="14.25" customHeight="1">
      <c r="A10" s="10">
        <v>250900006</v>
      </c>
      <c r="B10" s="10" t="s">
        <v>373</v>
      </c>
      <c r="C10" s="10" t="s">
        <v>28</v>
      </c>
      <c r="D10" s="10" t="s">
        <v>29</v>
      </c>
      <c r="E10" s="10" t="s">
        <v>395</v>
      </c>
      <c r="F10" s="10" t="s">
        <v>25</v>
      </c>
      <c r="G10" s="10" t="s">
        <v>30</v>
      </c>
      <c r="H10" s="11">
        <v>45905</v>
      </c>
      <c r="I10" s="11">
        <v>45905</v>
      </c>
      <c r="J10" s="12" t="s">
        <v>34</v>
      </c>
      <c r="K10" s="18">
        <v>864001</v>
      </c>
      <c r="L10" s="13">
        <v>375000</v>
      </c>
      <c r="M10" s="18">
        <v>225000</v>
      </c>
      <c r="N10" s="18">
        <v>100000</v>
      </c>
      <c r="O10" s="18">
        <v>0</v>
      </c>
      <c r="P10" s="18">
        <v>0</v>
      </c>
      <c r="Q10" s="18">
        <v>0</v>
      </c>
      <c r="R10" s="19">
        <f t="shared" ref="R10:R11" si="0">SUM(K10-L10-M10-N10)</f>
        <v>164001</v>
      </c>
    </row>
    <row r="11" spans="1:18" ht="14.25" customHeight="1">
      <c r="A11" s="10">
        <v>250900007</v>
      </c>
      <c r="B11" s="10" t="s">
        <v>373</v>
      </c>
      <c r="C11" s="10" t="s">
        <v>28</v>
      </c>
      <c r="D11" s="10" t="s">
        <v>29</v>
      </c>
      <c r="E11" s="10" t="s">
        <v>395</v>
      </c>
      <c r="F11" s="10" t="s">
        <v>25</v>
      </c>
      <c r="G11" s="10" t="s">
        <v>30</v>
      </c>
      <c r="H11" s="11">
        <v>45906</v>
      </c>
      <c r="I11" s="11">
        <v>45906</v>
      </c>
      <c r="J11" s="12" t="s">
        <v>34</v>
      </c>
      <c r="K11" s="18">
        <v>864001</v>
      </c>
      <c r="L11" s="13">
        <v>375000</v>
      </c>
      <c r="M11" s="18">
        <v>225000</v>
      </c>
      <c r="N11" s="18">
        <v>100000</v>
      </c>
      <c r="O11" s="18">
        <v>0</v>
      </c>
      <c r="P11" s="18">
        <v>0</v>
      </c>
      <c r="Q11" s="18">
        <v>0</v>
      </c>
      <c r="R11" s="19">
        <f t="shared" si="0"/>
        <v>164001</v>
      </c>
    </row>
    <row r="12" spans="1:18" ht="15" customHeight="1">
      <c r="A12" s="76">
        <v>250900008</v>
      </c>
      <c r="B12" s="76" t="s">
        <v>373</v>
      </c>
      <c r="C12" s="76" t="s">
        <v>28</v>
      </c>
      <c r="D12" s="76" t="s">
        <v>35</v>
      </c>
      <c r="E12" s="76" t="s">
        <v>395</v>
      </c>
      <c r="F12" s="76" t="s">
        <v>25</v>
      </c>
      <c r="G12" s="76" t="s">
        <v>36</v>
      </c>
      <c r="H12" s="92">
        <v>45905</v>
      </c>
      <c r="I12" s="92">
        <v>45906</v>
      </c>
      <c r="J12" s="113" t="s">
        <v>37</v>
      </c>
      <c r="K12" s="117">
        <v>1824001</v>
      </c>
      <c r="L12" s="117">
        <v>750000</v>
      </c>
      <c r="M12" s="117">
        <v>500000</v>
      </c>
      <c r="N12" s="117">
        <v>236000</v>
      </c>
      <c r="O12" s="117">
        <v>0</v>
      </c>
      <c r="P12" s="117">
        <v>0</v>
      </c>
      <c r="Q12" s="117">
        <v>0</v>
      </c>
      <c r="R12" s="125">
        <f>SUM(K12-L12-L13-M12-M13-N12)</f>
        <v>338001</v>
      </c>
    </row>
    <row r="13" spans="1:18" ht="1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</row>
    <row r="14" spans="1:18" ht="14.25" customHeight="1">
      <c r="A14" s="76">
        <v>250900009</v>
      </c>
      <c r="B14" s="76" t="s">
        <v>371</v>
      </c>
      <c r="C14" s="76" t="s">
        <v>32</v>
      </c>
      <c r="D14" s="76" t="s">
        <v>380</v>
      </c>
      <c r="E14" s="89" t="s">
        <v>396</v>
      </c>
      <c r="F14" s="76" t="s">
        <v>38</v>
      </c>
      <c r="G14" s="76" t="s">
        <v>39</v>
      </c>
      <c r="H14" s="92">
        <v>45905</v>
      </c>
      <c r="I14" s="92">
        <v>45906</v>
      </c>
      <c r="J14" s="113" t="s">
        <v>40</v>
      </c>
      <c r="K14" s="117">
        <v>3600000</v>
      </c>
      <c r="L14" s="117">
        <v>1400000</v>
      </c>
      <c r="M14" s="117">
        <v>500000</v>
      </c>
      <c r="N14" s="117">
        <v>270000</v>
      </c>
      <c r="O14" s="117">
        <v>285000</v>
      </c>
      <c r="P14" s="117">
        <v>250000</v>
      </c>
      <c r="Q14" s="117">
        <v>0</v>
      </c>
      <c r="R14" s="125">
        <f>SUM(K14-L14-L15-M14-M15-N14-O14-P14)</f>
        <v>895000</v>
      </c>
    </row>
    <row r="15" spans="1:18" ht="14.2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</row>
    <row r="16" spans="1:18" ht="14.25" customHeight="1">
      <c r="A16" s="10">
        <v>250900010</v>
      </c>
      <c r="B16" s="10" t="s">
        <v>373</v>
      </c>
      <c r="C16" s="10" t="s">
        <v>28</v>
      </c>
      <c r="D16" s="10" t="s">
        <v>41</v>
      </c>
      <c r="E16" s="10" t="s">
        <v>395</v>
      </c>
      <c r="F16" s="10" t="s">
        <v>25</v>
      </c>
      <c r="G16" s="10" t="s">
        <v>42</v>
      </c>
      <c r="H16" s="11">
        <v>45906</v>
      </c>
      <c r="I16" s="11">
        <v>45906</v>
      </c>
      <c r="J16" s="12" t="s">
        <v>43</v>
      </c>
      <c r="K16" s="13">
        <v>816001</v>
      </c>
      <c r="L16" s="13">
        <v>375000</v>
      </c>
      <c r="M16" s="18">
        <v>225000</v>
      </c>
      <c r="N16" s="13">
        <v>100000</v>
      </c>
      <c r="O16" s="13">
        <v>9000</v>
      </c>
      <c r="P16" s="13">
        <v>0</v>
      </c>
      <c r="Q16" s="13">
        <v>0</v>
      </c>
      <c r="R16" s="14">
        <f t="shared" ref="R16:R17" si="1">SUM(K16-L16-M16-N16-O16)</f>
        <v>107001</v>
      </c>
    </row>
    <row r="17" spans="1:18" ht="14.25" customHeight="1">
      <c r="A17" s="10">
        <v>250900011</v>
      </c>
      <c r="B17" s="10" t="s">
        <v>371</v>
      </c>
      <c r="C17" s="10" t="s">
        <v>32</v>
      </c>
      <c r="D17" s="10" t="s">
        <v>380</v>
      </c>
      <c r="E17" s="10" t="s">
        <v>395</v>
      </c>
      <c r="F17" s="10" t="s">
        <v>25</v>
      </c>
      <c r="G17" s="10" t="s">
        <v>17</v>
      </c>
      <c r="H17" s="11">
        <v>45906</v>
      </c>
      <c r="I17" s="11">
        <v>45906</v>
      </c>
      <c r="J17" s="12" t="s">
        <v>27</v>
      </c>
      <c r="K17" s="13">
        <v>750000</v>
      </c>
      <c r="L17" s="13">
        <v>375000</v>
      </c>
      <c r="M17" s="18">
        <v>180000</v>
      </c>
      <c r="N17" s="13">
        <v>100000</v>
      </c>
      <c r="O17" s="13">
        <v>0</v>
      </c>
      <c r="P17" s="13">
        <v>0</v>
      </c>
      <c r="Q17" s="13">
        <v>0</v>
      </c>
      <c r="R17" s="14">
        <f t="shared" si="1"/>
        <v>95000</v>
      </c>
    </row>
    <row r="18" spans="1:18" ht="15" customHeight="1">
      <c r="A18" s="76">
        <v>250900012</v>
      </c>
      <c r="B18" s="76" t="s">
        <v>371</v>
      </c>
      <c r="C18" s="76" t="s">
        <v>32</v>
      </c>
      <c r="D18" s="76" t="s">
        <v>380</v>
      </c>
      <c r="E18" s="76" t="s">
        <v>395</v>
      </c>
      <c r="F18" s="76" t="s">
        <v>25</v>
      </c>
      <c r="G18" s="76" t="s">
        <v>30</v>
      </c>
      <c r="H18" s="92">
        <v>45907</v>
      </c>
      <c r="I18" s="92">
        <v>45908</v>
      </c>
      <c r="J18" s="113" t="s">
        <v>44</v>
      </c>
      <c r="K18" s="117">
        <v>2200000</v>
      </c>
      <c r="L18" s="117">
        <v>750000</v>
      </c>
      <c r="M18" s="117">
        <v>360000</v>
      </c>
      <c r="N18" s="117">
        <v>158000</v>
      </c>
      <c r="O18" s="117">
        <v>216000</v>
      </c>
      <c r="P18" s="117">
        <v>100000</v>
      </c>
      <c r="Q18" s="117" t="s">
        <v>45</v>
      </c>
      <c r="R18" s="125">
        <f>SUM(K18-L18-L19-M18-M19-N18-O18-P18)</f>
        <v>616000</v>
      </c>
    </row>
    <row r="19" spans="1:18" ht="1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</row>
    <row r="20" spans="1:18" ht="14.25" customHeight="1">
      <c r="A20" s="10">
        <v>250900013</v>
      </c>
      <c r="B20" s="10" t="s">
        <v>46</v>
      </c>
      <c r="C20" s="10" t="s">
        <v>47</v>
      </c>
      <c r="D20" s="10" t="s">
        <v>46</v>
      </c>
      <c r="E20" s="10" t="s">
        <v>395</v>
      </c>
      <c r="F20" s="10" t="s">
        <v>25</v>
      </c>
      <c r="G20" s="10" t="s">
        <v>36</v>
      </c>
      <c r="H20" s="11">
        <v>45907</v>
      </c>
      <c r="I20" s="11">
        <v>45907</v>
      </c>
      <c r="J20" s="12" t="s">
        <v>48</v>
      </c>
      <c r="K20" s="18">
        <v>900000</v>
      </c>
      <c r="L20" s="13">
        <v>375000</v>
      </c>
      <c r="M20" s="18">
        <v>225000</v>
      </c>
      <c r="N20" s="18">
        <v>160000</v>
      </c>
      <c r="O20" s="18">
        <v>0</v>
      </c>
      <c r="P20" s="18">
        <v>0</v>
      </c>
      <c r="Q20" s="18">
        <v>0</v>
      </c>
      <c r="R20" s="19">
        <f>SUM(K20-L20-M20-N20)</f>
        <v>140000</v>
      </c>
    </row>
    <row r="21" spans="1:18" ht="15" customHeight="1">
      <c r="A21" s="76">
        <v>250900014</v>
      </c>
      <c r="B21" s="76" t="s">
        <v>19</v>
      </c>
      <c r="C21" s="76" t="s">
        <v>20</v>
      </c>
      <c r="D21" s="76" t="s">
        <v>49</v>
      </c>
      <c r="E21" s="76" t="s">
        <v>395</v>
      </c>
      <c r="F21" s="76" t="s">
        <v>25</v>
      </c>
      <c r="G21" s="76" t="s">
        <v>39</v>
      </c>
      <c r="H21" s="92">
        <v>45907</v>
      </c>
      <c r="I21" s="92">
        <v>45912</v>
      </c>
      <c r="J21" s="113" t="s">
        <v>50</v>
      </c>
      <c r="K21" s="117">
        <v>4596081</v>
      </c>
      <c r="L21" s="117">
        <v>2400000</v>
      </c>
      <c r="M21" s="117">
        <v>1300000</v>
      </c>
      <c r="N21" s="117">
        <v>402000</v>
      </c>
      <c r="O21" s="117">
        <v>15000</v>
      </c>
      <c r="P21" s="117">
        <v>0</v>
      </c>
      <c r="Q21" s="117">
        <v>0</v>
      </c>
      <c r="R21" s="125">
        <f>SUM(K21-L21-L22-L23-L24-L25-L26-M21-M22-M23-M24-M25-M26-N21-O21)</f>
        <v>479081</v>
      </c>
    </row>
    <row r="22" spans="1:18" ht="1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</row>
    <row r="23" spans="1:18" ht="1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</row>
    <row r="24" spans="1:18" ht="1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</row>
    <row r="25" spans="1:18" ht="1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</row>
    <row r="26" spans="1:18" ht="1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5" customHeight="1">
      <c r="A27" s="76">
        <v>250900015</v>
      </c>
      <c r="B27" s="76" t="s">
        <v>19</v>
      </c>
      <c r="C27" s="76" t="s">
        <v>20</v>
      </c>
      <c r="D27" s="76" t="s">
        <v>51</v>
      </c>
      <c r="E27" s="76" t="s">
        <v>395</v>
      </c>
      <c r="F27" s="76" t="s">
        <v>25</v>
      </c>
      <c r="G27" s="76" t="s">
        <v>36</v>
      </c>
      <c r="H27" s="92">
        <v>45908</v>
      </c>
      <c r="I27" s="92">
        <v>45910</v>
      </c>
      <c r="J27" s="113" t="s">
        <v>52</v>
      </c>
      <c r="K27" s="117">
        <v>3631890</v>
      </c>
      <c r="L27" s="117">
        <v>1125000</v>
      </c>
      <c r="M27" s="117">
        <v>775000</v>
      </c>
      <c r="N27" s="117">
        <v>371000</v>
      </c>
      <c r="O27" s="117">
        <v>124500</v>
      </c>
      <c r="P27" s="117">
        <v>0</v>
      </c>
      <c r="Q27" s="117">
        <v>0</v>
      </c>
      <c r="R27" s="125">
        <f>SUM(K27-L27-L28-L29-M27-M28-M29-M30-N27-O27)</f>
        <v>1236390</v>
      </c>
    </row>
    <row r="28" spans="1:18" ht="1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</row>
    <row r="29" spans="1:18" ht="1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</row>
    <row r="30" spans="1:18" ht="1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5" customHeight="1">
      <c r="A31" s="76">
        <v>250900016</v>
      </c>
      <c r="B31" s="76" t="s">
        <v>19</v>
      </c>
      <c r="C31" s="76" t="s">
        <v>20</v>
      </c>
      <c r="D31" s="76" t="s">
        <v>53</v>
      </c>
      <c r="E31" s="76" t="s">
        <v>395</v>
      </c>
      <c r="F31" s="76" t="s">
        <v>25</v>
      </c>
      <c r="G31" s="76" t="s">
        <v>22</v>
      </c>
      <c r="H31" s="92">
        <v>45908</v>
      </c>
      <c r="I31" s="92">
        <v>45910</v>
      </c>
      <c r="J31" s="113" t="s">
        <v>54</v>
      </c>
      <c r="K31" s="117">
        <v>2653730</v>
      </c>
      <c r="L31" s="117">
        <v>1125000</v>
      </c>
      <c r="M31" s="117">
        <v>675000</v>
      </c>
      <c r="N31" s="117">
        <v>175000</v>
      </c>
      <c r="O31" s="117">
        <v>0</v>
      </c>
      <c r="P31" s="117">
        <v>200000</v>
      </c>
      <c r="Q31" s="117" t="s">
        <v>24</v>
      </c>
      <c r="R31" s="125">
        <f>SUM(K31-L31-L32-L33-M31-M32-M33-N31-P31)</f>
        <v>478730</v>
      </c>
    </row>
    <row r="32" spans="1:18" ht="1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</row>
    <row r="33" spans="1:18" ht="1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4.25" customHeight="1">
      <c r="A34" s="76">
        <v>250900017</v>
      </c>
      <c r="B34" s="76" t="s">
        <v>19</v>
      </c>
      <c r="C34" s="76" t="s">
        <v>20</v>
      </c>
      <c r="D34" s="76" t="s">
        <v>55</v>
      </c>
      <c r="E34" s="76" t="s">
        <v>395</v>
      </c>
      <c r="F34" s="76" t="s">
        <v>25</v>
      </c>
      <c r="G34" s="76" t="s">
        <v>56</v>
      </c>
      <c r="H34" s="92">
        <v>45909</v>
      </c>
      <c r="I34" s="92">
        <v>45911</v>
      </c>
      <c r="J34" s="113" t="s">
        <v>57</v>
      </c>
      <c r="K34" s="117">
        <v>2189152</v>
      </c>
      <c r="L34" s="117">
        <v>1125001</v>
      </c>
      <c r="M34" s="117">
        <v>575000</v>
      </c>
      <c r="N34" s="117">
        <v>250000</v>
      </c>
      <c r="O34" s="117">
        <v>0</v>
      </c>
      <c r="P34" s="117">
        <v>0</v>
      </c>
      <c r="Q34" s="117">
        <v>0</v>
      </c>
      <c r="R34" s="125">
        <f>SUM(K34-L34-L35-L36-M34-M35-M36-N34)</f>
        <v>239151</v>
      </c>
    </row>
    <row r="35" spans="1:18" ht="14.2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</row>
    <row r="36" spans="1:18" ht="14.2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5" customHeight="1">
      <c r="A37" s="76">
        <v>250900018</v>
      </c>
      <c r="B37" s="76" t="s">
        <v>371</v>
      </c>
      <c r="C37" s="76" t="s">
        <v>32</v>
      </c>
      <c r="D37" s="76" t="s">
        <v>380</v>
      </c>
      <c r="E37" s="89" t="s">
        <v>398</v>
      </c>
      <c r="F37" s="89" t="s">
        <v>58</v>
      </c>
      <c r="G37" s="76" t="s">
        <v>59</v>
      </c>
      <c r="H37" s="92">
        <v>45909</v>
      </c>
      <c r="I37" s="92">
        <v>45913</v>
      </c>
      <c r="J37" s="113" t="s">
        <v>60</v>
      </c>
      <c r="K37" s="117">
        <v>7500000</v>
      </c>
      <c r="L37" s="117">
        <v>3250000</v>
      </c>
      <c r="M37" s="117">
        <v>1750000</v>
      </c>
      <c r="N37" s="117">
        <v>998000</v>
      </c>
      <c r="O37" s="117">
        <v>0</v>
      </c>
      <c r="P37" s="117">
        <v>0</v>
      </c>
      <c r="Q37" s="117">
        <v>0</v>
      </c>
      <c r="R37" s="125">
        <f>SUM(K37-L37-L38-L39-L40-L41-M37-M38-M39-M40-M41-N37)</f>
        <v>1502000</v>
      </c>
    </row>
    <row r="38" spans="1:18" ht="1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</row>
    <row r="39" spans="1:18" ht="1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</row>
    <row r="40" spans="1:18" ht="1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</row>
    <row r="41" spans="1:18" ht="1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18" ht="15" customHeight="1">
      <c r="A42" s="76">
        <v>250900019</v>
      </c>
      <c r="B42" s="76" t="s">
        <v>371</v>
      </c>
      <c r="C42" s="76" t="s">
        <v>32</v>
      </c>
      <c r="D42" s="76" t="s">
        <v>380</v>
      </c>
      <c r="E42" s="76" t="s">
        <v>395</v>
      </c>
      <c r="F42" s="76" t="s">
        <v>25</v>
      </c>
      <c r="G42" s="76" t="s">
        <v>22</v>
      </c>
      <c r="H42" s="115">
        <v>45911</v>
      </c>
      <c r="I42" s="92">
        <v>45913</v>
      </c>
      <c r="J42" s="113" t="s">
        <v>27</v>
      </c>
      <c r="K42" s="117">
        <v>2775000</v>
      </c>
      <c r="L42" s="117">
        <v>1150000</v>
      </c>
      <c r="M42" s="117">
        <v>540000</v>
      </c>
      <c r="N42" s="117">
        <v>300000</v>
      </c>
      <c r="O42" s="117">
        <v>153500</v>
      </c>
      <c r="P42" s="117">
        <v>150000</v>
      </c>
      <c r="Q42" s="117" t="s">
        <v>33</v>
      </c>
      <c r="R42" s="125">
        <f>SUM(K42-L42-L43-L44-M42-M43-M44-N42-N44-O42-O44-P42-P44)</f>
        <v>481500</v>
      </c>
    </row>
    <row r="43" spans="1:18" ht="1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</row>
    <row r="44" spans="1:18" ht="14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87"/>
      <c r="R44" s="77"/>
    </row>
    <row r="45" spans="1:18" ht="14.25" customHeight="1">
      <c r="A45" s="76">
        <v>250900020</v>
      </c>
      <c r="B45" s="76" t="s">
        <v>371</v>
      </c>
      <c r="C45" s="76" t="s">
        <v>32</v>
      </c>
      <c r="D45" s="76" t="s">
        <v>380</v>
      </c>
      <c r="E45" s="76" t="s">
        <v>395</v>
      </c>
      <c r="F45" s="76" t="s">
        <v>25</v>
      </c>
      <c r="G45" s="76" t="s">
        <v>61</v>
      </c>
      <c r="H45" s="115">
        <v>45911</v>
      </c>
      <c r="I45" s="92">
        <v>45913</v>
      </c>
      <c r="J45" s="113" t="s">
        <v>62</v>
      </c>
      <c r="K45" s="117">
        <v>3225000</v>
      </c>
      <c r="L45" s="117">
        <v>1125000</v>
      </c>
      <c r="M45" s="117">
        <v>630000</v>
      </c>
      <c r="N45" s="117">
        <v>400000</v>
      </c>
      <c r="O45" s="117">
        <v>458000</v>
      </c>
      <c r="P45" s="117">
        <v>150000</v>
      </c>
      <c r="Q45" s="117">
        <v>0</v>
      </c>
      <c r="R45" s="125">
        <f>SUM(K45-L45-L46-L47-M45-M46-M47-N45-O45-P45)</f>
        <v>462000</v>
      </c>
    </row>
    <row r="46" spans="1:18" ht="14.2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</row>
    <row r="47" spans="1:18" ht="14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18" ht="14.25" customHeight="1">
      <c r="A48" s="76">
        <v>250900021</v>
      </c>
      <c r="B48" s="76" t="s">
        <v>370</v>
      </c>
      <c r="C48" s="76" t="s">
        <v>15</v>
      </c>
      <c r="D48" s="76" t="s">
        <v>381</v>
      </c>
      <c r="E48" s="76" t="s">
        <v>395</v>
      </c>
      <c r="F48" s="76" t="s">
        <v>25</v>
      </c>
      <c r="G48" s="76" t="s">
        <v>30</v>
      </c>
      <c r="H48" s="115">
        <v>45911</v>
      </c>
      <c r="I48" s="92">
        <v>45915</v>
      </c>
      <c r="J48" s="113" t="s">
        <v>63</v>
      </c>
      <c r="K48" s="117">
        <v>4903000</v>
      </c>
      <c r="L48" s="117">
        <v>375000</v>
      </c>
      <c r="M48" s="117">
        <v>375001</v>
      </c>
      <c r="N48" s="117">
        <v>469000</v>
      </c>
      <c r="O48" s="117">
        <v>403000</v>
      </c>
      <c r="P48" s="117">
        <v>20000</v>
      </c>
      <c r="Q48" s="117" t="s">
        <v>64</v>
      </c>
      <c r="R48" s="125">
        <f>SUM(K48-L48-L49-L50-L51-L52-M48-M49-M50-M51-M52-N48-O48-P48)</f>
        <v>3260999</v>
      </c>
    </row>
    <row r="49" spans="1:18" ht="14.2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</row>
    <row r="50" spans="1:18" ht="14.2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</row>
    <row r="51" spans="1:18" ht="14.2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</row>
    <row r="52" spans="1:18" ht="14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18" ht="15" customHeight="1">
      <c r="A53" s="76">
        <v>250900022</v>
      </c>
      <c r="B53" s="76" t="s">
        <v>65</v>
      </c>
      <c r="C53" s="76" t="s">
        <v>66</v>
      </c>
      <c r="D53" s="76" t="s">
        <v>207</v>
      </c>
      <c r="E53" s="89" t="s">
        <v>398</v>
      </c>
      <c r="F53" s="76" t="s">
        <v>58</v>
      </c>
      <c r="G53" s="76" t="s">
        <v>67</v>
      </c>
      <c r="H53" s="92">
        <v>45911</v>
      </c>
      <c r="I53" s="92">
        <v>45913</v>
      </c>
      <c r="J53" s="113" t="s">
        <v>68</v>
      </c>
      <c r="K53" s="106">
        <v>3217000</v>
      </c>
      <c r="L53" s="106">
        <v>1200000</v>
      </c>
      <c r="M53" s="106">
        <v>275000</v>
      </c>
      <c r="N53" s="106">
        <v>372000</v>
      </c>
      <c r="O53" s="106">
        <v>267000</v>
      </c>
      <c r="P53" s="106">
        <v>41000</v>
      </c>
      <c r="Q53" s="106" t="s">
        <v>69</v>
      </c>
      <c r="R53" s="112">
        <f>SUM(K53-L53-L54-L55-M53-M54-M55-N53-N55-O53-O55-P53)</f>
        <v>1062000</v>
      </c>
    </row>
    <row r="54" spans="1:18" ht="1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</row>
    <row r="55" spans="1:18" ht="14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18" ht="14.25" customHeight="1">
      <c r="A56" s="10">
        <v>250900023</v>
      </c>
      <c r="B56" s="10" t="s">
        <v>373</v>
      </c>
      <c r="C56" s="10" t="s">
        <v>28</v>
      </c>
      <c r="D56" s="10" t="s">
        <v>373</v>
      </c>
      <c r="E56" s="10" t="s">
        <v>395</v>
      </c>
      <c r="F56" s="10" t="s">
        <v>25</v>
      </c>
      <c r="G56" s="10" t="s">
        <v>30</v>
      </c>
      <c r="H56" s="11">
        <v>45910</v>
      </c>
      <c r="I56" s="11">
        <v>45910</v>
      </c>
      <c r="J56" s="12" t="s">
        <v>70</v>
      </c>
      <c r="K56" s="22">
        <v>864000</v>
      </c>
      <c r="L56" s="23">
        <v>375000</v>
      </c>
      <c r="M56" s="23">
        <v>200000</v>
      </c>
      <c r="N56" s="22">
        <v>86000</v>
      </c>
      <c r="O56" s="22">
        <v>0</v>
      </c>
      <c r="P56" s="22">
        <v>0</v>
      </c>
      <c r="Q56" s="22">
        <v>0</v>
      </c>
      <c r="R56" s="24">
        <f>SUM(K56-L56-M56-N56)</f>
        <v>203000</v>
      </c>
    </row>
    <row r="57" spans="1:18" ht="15" customHeight="1">
      <c r="A57" s="76">
        <v>250900024</v>
      </c>
      <c r="B57" s="76" t="s">
        <v>371</v>
      </c>
      <c r="C57" s="76" t="s">
        <v>32</v>
      </c>
      <c r="D57" s="76" t="s">
        <v>380</v>
      </c>
      <c r="E57" s="89" t="s">
        <v>399</v>
      </c>
      <c r="F57" s="76" t="s">
        <v>71</v>
      </c>
      <c r="G57" s="76" t="s">
        <v>30</v>
      </c>
      <c r="H57" s="92">
        <v>45911</v>
      </c>
      <c r="I57" s="92">
        <v>45919</v>
      </c>
      <c r="J57" s="113" t="s">
        <v>72</v>
      </c>
      <c r="K57" s="106">
        <v>23000000</v>
      </c>
      <c r="L57" s="106">
        <v>20700000</v>
      </c>
      <c r="M57" s="106">
        <v>0</v>
      </c>
      <c r="N57" s="106">
        <v>0</v>
      </c>
      <c r="O57" s="106">
        <v>0</v>
      </c>
      <c r="P57" s="106">
        <v>0</v>
      </c>
      <c r="Q57" s="106">
        <v>0</v>
      </c>
      <c r="R57" s="112">
        <f>SUM(K57-L57)</f>
        <v>2300000</v>
      </c>
    </row>
    <row r="58" spans="1:18" ht="1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</row>
    <row r="59" spans="1:18" ht="1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ht="1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ht="1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ht="1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ht="1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ht="1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ht="1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ht="14.25" customHeight="1">
      <c r="A66" s="76">
        <v>250900025</v>
      </c>
      <c r="B66" s="76" t="s">
        <v>19</v>
      </c>
      <c r="C66" s="76" t="s">
        <v>20</v>
      </c>
      <c r="D66" s="76" t="s">
        <v>55</v>
      </c>
      <c r="E66" s="76" t="s">
        <v>395</v>
      </c>
      <c r="F66" s="76" t="s">
        <v>25</v>
      </c>
      <c r="G66" s="76" t="s">
        <v>56</v>
      </c>
      <c r="H66" s="92">
        <v>45912</v>
      </c>
      <c r="I66" s="92">
        <v>45916</v>
      </c>
      <c r="J66" s="113" t="s">
        <v>73</v>
      </c>
      <c r="K66" s="106">
        <v>3512435</v>
      </c>
      <c r="L66" s="106">
        <v>1600000</v>
      </c>
      <c r="M66" s="106">
        <v>900000</v>
      </c>
      <c r="N66" s="106">
        <v>390000</v>
      </c>
      <c r="O66" s="106">
        <v>31500</v>
      </c>
      <c r="P66" s="106">
        <v>0</v>
      </c>
      <c r="Q66" s="106">
        <v>0</v>
      </c>
      <c r="R66" s="112">
        <f>SUM(K66-L66-L67-L68-L69-M66-M67-M68-M69-N66-O66)</f>
        <v>590935</v>
      </c>
    </row>
    <row r="67" spans="1:18" ht="14.2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ht="14.2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ht="14.25" customHeight="1">
      <c r="A70" s="76">
        <v>250900026</v>
      </c>
      <c r="B70" s="76" t="s">
        <v>19</v>
      </c>
      <c r="C70" s="76" t="s">
        <v>20</v>
      </c>
      <c r="D70" s="76" t="s">
        <v>21</v>
      </c>
      <c r="E70" s="76" t="s">
        <v>395</v>
      </c>
      <c r="F70" s="76" t="s">
        <v>25</v>
      </c>
      <c r="G70" s="76" t="s">
        <v>74</v>
      </c>
      <c r="H70" s="92">
        <v>45912</v>
      </c>
      <c r="I70" s="92">
        <v>45915</v>
      </c>
      <c r="J70" s="113" t="s">
        <v>75</v>
      </c>
      <c r="K70" s="106">
        <v>2450000</v>
      </c>
      <c r="L70" s="106">
        <v>1500000</v>
      </c>
      <c r="M70" s="106">
        <v>600000</v>
      </c>
      <c r="N70" s="106">
        <v>210000</v>
      </c>
      <c r="O70" s="106">
        <v>0</v>
      </c>
      <c r="P70" s="106">
        <v>0</v>
      </c>
      <c r="Q70" s="106">
        <v>0</v>
      </c>
      <c r="R70" s="112">
        <f>SUM(K70-L70-L71-L72-L73-M70-M71-M72-M73-N70)</f>
        <v>140000</v>
      </c>
    </row>
    <row r="71" spans="1:18" ht="14.2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ht="14.2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ht="14.25" customHeight="1">
      <c r="A74" s="76">
        <v>250900027</v>
      </c>
      <c r="B74" s="76" t="s">
        <v>19</v>
      </c>
      <c r="C74" s="76" t="s">
        <v>20</v>
      </c>
      <c r="D74" s="76" t="s">
        <v>76</v>
      </c>
      <c r="E74" s="76" t="s">
        <v>395</v>
      </c>
      <c r="F74" s="76" t="s">
        <v>25</v>
      </c>
      <c r="G74" s="76" t="s">
        <v>39</v>
      </c>
      <c r="H74" s="92">
        <v>45912</v>
      </c>
      <c r="I74" s="92">
        <v>45913</v>
      </c>
      <c r="J74" s="113" t="s">
        <v>77</v>
      </c>
      <c r="K74" s="106">
        <v>1310000</v>
      </c>
      <c r="L74" s="106">
        <v>750000</v>
      </c>
      <c r="M74" s="106">
        <v>300000</v>
      </c>
      <c r="N74" s="106">
        <v>190000</v>
      </c>
      <c r="O74" s="106">
        <v>0</v>
      </c>
      <c r="P74" s="106">
        <v>0</v>
      </c>
      <c r="Q74" s="106">
        <v>0</v>
      </c>
      <c r="R74" s="112">
        <f>SUM(K74-L74-L75-M74-M75-N74)</f>
        <v>70000</v>
      </c>
    </row>
    <row r="75" spans="1:18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ht="14.25" customHeight="1">
      <c r="A76" s="10">
        <v>250900028</v>
      </c>
      <c r="B76" s="10" t="s">
        <v>373</v>
      </c>
      <c r="C76" s="10" t="s">
        <v>28</v>
      </c>
      <c r="D76" s="10" t="s">
        <v>78</v>
      </c>
      <c r="E76" s="10" t="s">
        <v>395</v>
      </c>
      <c r="F76" s="10" t="s">
        <v>25</v>
      </c>
      <c r="G76" s="10" t="s">
        <v>36</v>
      </c>
      <c r="H76" s="11">
        <v>45912</v>
      </c>
      <c r="I76" s="11">
        <v>45912</v>
      </c>
      <c r="J76" s="12" t="s">
        <v>79</v>
      </c>
      <c r="K76" s="25">
        <v>864001</v>
      </c>
      <c r="L76" s="22">
        <v>375000</v>
      </c>
      <c r="M76" s="22">
        <v>225000</v>
      </c>
      <c r="N76" s="25">
        <v>120000</v>
      </c>
      <c r="O76" s="25">
        <v>0</v>
      </c>
      <c r="P76" s="25"/>
      <c r="Q76" s="25"/>
      <c r="R76" s="26">
        <f>SUM(K76-L76-M76-N76)</f>
        <v>144001</v>
      </c>
    </row>
    <row r="77" spans="1:18" ht="14.25" customHeight="1">
      <c r="A77" s="76">
        <v>250900029</v>
      </c>
      <c r="B77" s="76" t="s">
        <v>76</v>
      </c>
      <c r="C77" s="76" t="s">
        <v>80</v>
      </c>
      <c r="D77" s="76" t="s">
        <v>76</v>
      </c>
      <c r="E77" s="89" t="s">
        <v>400</v>
      </c>
      <c r="F77" s="76" t="s">
        <v>81</v>
      </c>
      <c r="G77" s="76" t="s">
        <v>17</v>
      </c>
      <c r="H77" s="92">
        <v>45912</v>
      </c>
      <c r="I77" s="92">
        <v>45915</v>
      </c>
      <c r="J77" s="113" t="s">
        <v>82</v>
      </c>
      <c r="K77" s="106">
        <v>3692000</v>
      </c>
      <c r="L77" s="106">
        <v>1000000</v>
      </c>
      <c r="M77" s="106">
        <v>925000</v>
      </c>
      <c r="N77" s="106">
        <v>820000</v>
      </c>
      <c r="O77" s="106">
        <v>442000</v>
      </c>
      <c r="P77" s="106">
        <v>0</v>
      </c>
      <c r="Q77" s="106">
        <v>0</v>
      </c>
      <c r="R77" s="112">
        <f>SUM(K77-L77-L78-L79-L80-M77-M78-M79-M80-N77)</f>
        <v>947000</v>
      </c>
    </row>
    <row r="78" spans="1:18" ht="14.2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ht="14.2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ht="14.25" customHeight="1">
      <c r="A81" s="10">
        <v>250900030</v>
      </c>
      <c r="B81" s="10" t="s">
        <v>370</v>
      </c>
      <c r="C81" s="27" t="s">
        <v>15</v>
      </c>
      <c r="D81" s="27" t="s">
        <v>381</v>
      </c>
      <c r="E81" s="10" t="s">
        <v>395</v>
      </c>
      <c r="F81" s="10" t="s">
        <v>25</v>
      </c>
      <c r="G81" s="10" t="s">
        <v>83</v>
      </c>
      <c r="H81" s="11">
        <v>45913</v>
      </c>
      <c r="I81" s="11">
        <v>45913</v>
      </c>
      <c r="J81" s="12" t="s">
        <v>48</v>
      </c>
      <c r="K81" s="25">
        <v>1097000</v>
      </c>
      <c r="L81" s="22">
        <v>375000</v>
      </c>
      <c r="M81" s="22">
        <v>225000</v>
      </c>
      <c r="N81" s="25">
        <v>210000</v>
      </c>
      <c r="O81" s="25">
        <v>197000</v>
      </c>
      <c r="P81" s="25">
        <v>29500</v>
      </c>
      <c r="Q81" s="25" t="s">
        <v>84</v>
      </c>
      <c r="R81" s="26">
        <f>SUM(K81-L81-M81-N81-P81)</f>
        <v>257500</v>
      </c>
    </row>
    <row r="82" spans="1:18" ht="14.25" customHeight="1">
      <c r="A82" s="76">
        <v>250900031</v>
      </c>
      <c r="B82" s="76" t="s">
        <v>370</v>
      </c>
      <c r="C82" s="76" t="s">
        <v>15</v>
      </c>
      <c r="D82" s="76" t="s">
        <v>381</v>
      </c>
      <c r="E82" s="76" t="s">
        <v>395</v>
      </c>
      <c r="F82" s="76" t="s">
        <v>25</v>
      </c>
      <c r="G82" s="76" t="s">
        <v>67</v>
      </c>
      <c r="H82" s="92">
        <v>45913</v>
      </c>
      <c r="I82" s="92">
        <v>45915</v>
      </c>
      <c r="J82" s="113" t="s">
        <v>85</v>
      </c>
      <c r="K82" s="106">
        <v>2856000</v>
      </c>
      <c r="L82" s="106">
        <v>1125000</v>
      </c>
      <c r="M82" s="106">
        <v>630000</v>
      </c>
      <c r="N82" s="106">
        <v>200000</v>
      </c>
      <c r="O82" s="106">
        <v>256000</v>
      </c>
      <c r="P82" s="106">
        <v>0</v>
      </c>
      <c r="Q82" s="106">
        <v>0</v>
      </c>
      <c r="R82" s="112">
        <f>SUM(K82-L82-L83-L84-M82-M83-M84-N82-O82)</f>
        <v>645000</v>
      </c>
    </row>
    <row r="83" spans="1:18" ht="14.2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ht="14.25" customHeight="1">
      <c r="A85" s="76">
        <v>250900032</v>
      </c>
      <c r="B85" s="76" t="s">
        <v>375</v>
      </c>
      <c r="C85" s="76" t="s">
        <v>86</v>
      </c>
      <c r="D85" s="76" t="s">
        <v>386</v>
      </c>
      <c r="E85" s="89" t="s">
        <v>401</v>
      </c>
      <c r="F85" s="89" t="s">
        <v>408</v>
      </c>
      <c r="G85" s="76" t="s">
        <v>36</v>
      </c>
      <c r="H85" s="92">
        <v>45913</v>
      </c>
      <c r="I85" s="92">
        <v>45916</v>
      </c>
      <c r="J85" s="113" t="s">
        <v>87</v>
      </c>
      <c r="K85" s="106">
        <v>6375000</v>
      </c>
      <c r="L85" s="106">
        <v>2000000</v>
      </c>
      <c r="M85" s="106">
        <v>1000000</v>
      </c>
      <c r="N85" s="106">
        <v>445000</v>
      </c>
      <c r="O85" s="106">
        <v>375500</v>
      </c>
      <c r="P85" s="106">
        <v>83000</v>
      </c>
      <c r="Q85" s="106" t="s">
        <v>88</v>
      </c>
      <c r="R85" s="112">
        <f>SUM(K85-L85-L86-L87-L88-M85-M86-M87-M88-N85-O85-P85)</f>
        <v>2471500</v>
      </c>
    </row>
    <row r="86" spans="1:18" ht="14.2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ht="14.2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ht="14.25" customHeight="1">
      <c r="A89" s="76">
        <v>250900033</v>
      </c>
      <c r="B89" s="76" t="s">
        <v>89</v>
      </c>
      <c r="C89" s="76" t="s">
        <v>90</v>
      </c>
      <c r="D89" s="76" t="s">
        <v>89</v>
      </c>
      <c r="E89" s="76" t="s">
        <v>398</v>
      </c>
      <c r="F89" s="76" t="s">
        <v>58</v>
      </c>
      <c r="G89" s="76" t="s">
        <v>22</v>
      </c>
      <c r="H89" s="92">
        <v>45913</v>
      </c>
      <c r="I89" s="92">
        <v>45916</v>
      </c>
      <c r="J89" s="113" t="s">
        <v>91</v>
      </c>
      <c r="K89" s="106">
        <v>5600000</v>
      </c>
      <c r="L89" s="106">
        <v>2400000</v>
      </c>
      <c r="M89" s="106">
        <v>1000000</v>
      </c>
      <c r="N89" s="106">
        <v>650000</v>
      </c>
      <c r="O89" s="106">
        <v>0</v>
      </c>
      <c r="P89" s="106">
        <v>0</v>
      </c>
      <c r="Q89" s="106">
        <v>0</v>
      </c>
      <c r="R89" s="112">
        <f>SUM(K89-L89-L90-L91-L92-M89-M90-M91-M92-N89)</f>
        <v>1550000</v>
      </c>
    </row>
    <row r="90" spans="1:18" ht="14.2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ht="14.2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ht="14.25" customHeight="1">
      <c r="A93" s="76">
        <v>250900034</v>
      </c>
      <c r="B93" s="76" t="s">
        <v>376</v>
      </c>
      <c r="C93" s="76" t="s">
        <v>92</v>
      </c>
      <c r="D93" s="76" t="s">
        <v>376</v>
      </c>
      <c r="E93" s="89" t="s">
        <v>403</v>
      </c>
      <c r="F93" s="76" t="s">
        <v>93</v>
      </c>
      <c r="G93" s="76" t="s">
        <v>59</v>
      </c>
      <c r="H93" s="92">
        <v>45913</v>
      </c>
      <c r="I93" s="92">
        <v>45916</v>
      </c>
      <c r="J93" s="113" t="s">
        <v>94</v>
      </c>
      <c r="K93" s="106">
        <v>7800000</v>
      </c>
      <c r="L93" s="106">
        <v>4500000</v>
      </c>
      <c r="M93" s="106">
        <v>800000</v>
      </c>
      <c r="N93" s="106">
        <v>500000</v>
      </c>
      <c r="O93" s="106">
        <v>50000</v>
      </c>
      <c r="P93" s="106">
        <v>0</v>
      </c>
      <c r="Q93" s="106">
        <v>0</v>
      </c>
      <c r="R93" s="112">
        <f>SUM(K93-L93-L94-L95-L96-M93-M94-M95-M96-N93-O93)</f>
        <v>1950000</v>
      </c>
    </row>
    <row r="94" spans="1:18" ht="14.2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ht="14.2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ht="14.25" customHeight="1">
      <c r="A97" s="76">
        <v>250900035</v>
      </c>
      <c r="B97" s="76" t="s">
        <v>95</v>
      </c>
      <c r="C97" s="76" t="s">
        <v>96</v>
      </c>
      <c r="D97" s="76" t="s">
        <v>95</v>
      </c>
      <c r="E97" s="76" t="s">
        <v>398</v>
      </c>
      <c r="F97" s="89" t="s">
        <v>58</v>
      </c>
      <c r="G97" s="76" t="s">
        <v>61</v>
      </c>
      <c r="H97" s="92">
        <v>45914</v>
      </c>
      <c r="I97" s="92">
        <v>45916</v>
      </c>
      <c r="J97" s="113" t="s">
        <v>97</v>
      </c>
      <c r="K97" s="106">
        <v>4700000</v>
      </c>
      <c r="L97" s="106">
        <v>2100000</v>
      </c>
      <c r="M97" s="106">
        <v>1050000</v>
      </c>
      <c r="N97" s="106">
        <v>735000</v>
      </c>
      <c r="O97" s="106">
        <v>0</v>
      </c>
      <c r="P97" s="106">
        <v>0</v>
      </c>
      <c r="Q97" s="106">
        <v>0</v>
      </c>
      <c r="R97" s="112">
        <f>SUM(K97-L97-L98-L99-M97-M98-M99-N97)</f>
        <v>815000</v>
      </c>
    </row>
    <row r="98" spans="1:18" ht="14.2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ht="14.25" customHeight="1">
      <c r="A100" s="76">
        <v>250900036</v>
      </c>
      <c r="B100" s="76" t="s">
        <v>98</v>
      </c>
      <c r="C100" s="76" t="s">
        <v>99</v>
      </c>
      <c r="D100" s="76" t="s">
        <v>98</v>
      </c>
      <c r="E100" s="76" t="s">
        <v>395</v>
      </c>
      <c r="F100" s="76" t="s">
        <v>25</v>
      </c>
      <c r="G100" s="76" t="s">
        <v>98</v>
      </c>
      <c r="H100" s="92">
        <v>45915</v>
      </c>
      <c r="I100" s="92">
        <v>45916</v>
      </c>
      <c r="J100" s="113" t="s">
        <v>100</v>
      </c>
      <c r="K100" s="106">
        <v>0</v>
      </c>
      <c r="L100" s="106">
        <v>800000</v>
      </c>
      <c r="M100" s="106">
        <v>0</v>
      </c>
      <c r="N100" s="106">
        <v>0</v>
      </c>
      <c r="O100" s="106">
        <v>0</v>
      </c>
      <c r="P100" s="106">
        <v>0</v>
      </c>
      <c r="Q100" s="106">
        <v>0</v>
      </c>
      <c r="R100" s="112">
        <v>0</v>
      </c>
    </row>
    <row r="101" spans="1:18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ht="14.25" customHeight="1">
      <c r="A102" s="76">
        <v>250900037</v>
      </c>
      <c r="B102" s="76" t="s">
        <v>19</v>
      </c>
      <c r="C102" s="76" t="s">
        <v>20</v>
      </c>
      <c r="D102" s="76" t="s">
        <v>76</v>
      </c>
      <c r="E102" s="76" t="s">
        <v>395</v>
      </c>
      <c r="F102" s="76" t="s">
        <v>25</v>
      </c>
      <c r="G102" s="76" t="s">
        <v>101</v>
      </c>
      <c r="H102" s="92">
        <v>45915</v>
      </c>
      <c r="I102" s="92">
        <v>45916</v>
      </c>
      <c r="J102" s="113" t="s">
        <v>102</v>
      </c>
      <c r="K102" s="106">
        <v>1896048</v>
      </c>
      <c r="L102" s="106">
        <v>800000</v>
      </c>
      <c r="M102" s="106">
        <v>450000</v>
      </c>
      <c r="N102" s="106">
        <v>220000</v>
      </c>
      <c r="O102" s="106">
        <v>0</v>
      </c>
      <c r="P102" s="106">
        <v>0</v>
      </c>
      <c r="Q102" s="106">
        <v>0</v>
      </c>
      <c r="R102" s="112">
        <f>SUM(K102-L102-L103-M102-M103-N102)</f>
        <v>426048</v>
      </c>
    </row>
    <row r="103" spans="1:18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ht="14.25" customHeight="1">
      <c r="A104" s="76">
        <v>250900038</v>
      </c>
      <c r="B104" s="76" t="s">
        <v>19</v>
      </c>
      <c r="C104" s="76" t="s">
        <v>20</v>
      </c>
      <c r="D104" s="76" t="s">
        <v>55</v>
      </c>
      <c r="E104" s="76" t="s">
        <v>395</v>
      </c>
      <c r="F104" s="76" t="s">
        <v>25</v>
      </c>
      <c r="G104" s="76" t="s">
        <v>42</v>
      </c>
      <c r="H104" s="92">
        <v>45918</v>
      </c>
      <c r="I104" s="92">
        <v>45919</v>
      </c>
      <c r="J104" s="113" t="s">
        <v>103</v>
      </c>
      <c r="K104" s="106">
        <v>700000</v>
      </c>
      <c r="L104" s="106">
        <v>400000</v>
      </c>
      <c r="M104" s="106">
        <v>200000</v>
      </c>
      <c r="N104" s="106">
        <v>68000</v>
      </c>
      <c r="O104" s="106">
        <v>0</v>
      </c>
      <c r="P104" s="106">
        <v>0</v>
      </c>
      <c r="Q104" s="106">
        <v>0</v>
      </c>
      <c r="R104" s="112">
        <f>SUM(K104-L104-L105-M104-M105-N104)</f>
        <v>32000</v>
      </c>
    </row>
    <row r="105" spans="1:18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ht="14.25" customHeight="1">
      <c r="A106" s="76">
        <v>250900039</v>
      </c>
      <c r="B106" s="76" t="s">
        <v>374</v>
      </c>
      <c r="C106" s="76" t="s">
        <v>104</v>
      </c>
      <c r="D106" s="76" t="s">
        <v>105</v>
      </c>
      <c r="E106" s="76" t="s">
        <v>404</v>
      </c>
      <c r="F106" s="89" t="s">
        <v>106</v>
      </c>
      <c r="G106" s="76" t="s">
        <v>22</v>
      </c>
      <c r="H106" s="92">
        <v>45919</v>
      </c>
      <c r="I106" s="92">
        <v>45920</v>
      </c>
      <c r="J106" s="113" t="s">
        <v>107</v>
      </c>
      <c r="K106" s="106">
        <v>1728001</v>
      </c>
      <c r="L106" s="106">
        <v>500000</v>
      </c>
      <c r="M106" s="106">
        <v>500000</v>
      </c>
      <c r="N106" s="106">
        <v>450000</v>
      </c>
      <c r="O106" s="106">
        <v>0</v>
      </c>
      <c r="P106" s="106">
        <v>0</v>
      </c>
      <c r="Q106" s="106">
        <v>0</v>
      </c>
      <c r="R106" s="112">
        <f>SUM(K106-L106-L107-M106-M107-N106)</f>
        <v>278001</v>
      </c>
    </row>
    <row r="107" spans="1:18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ht="14.25" customHeight="1">
      <c r="A108" s="76">
        <v>250900040</v>
      </c>
      <c r="B108" s="76" t="s">
        <v>370</v>
      </c>
      <c r="C108" s="76" t="s">
        <v>15</v>
      </c>
      <c r="D108" s="76" t="s">
        <v>382</v>
      </c>
      <c r="E108" s="76" t="s">
        <v>395</v>
      </c>
      <c r="F108" s="76" t="s">
        <v>25</v>
      </c>
      <c r="G108" s="76" t="s">
        <v>17</v>
      </c>
      <c r="H108" s="92">
        <v>45917</v>
      </c>
      <c r="I108" s="92">
        <v>45919</v>
      </c>
      <c r="J108" s="113" t="s">
        <v>94</v>
      </c>
      <c r="K108" s="106">
        <v>1975000</v>
      </c>
      <c r="L108" s="106">
        <v>1125000</v>
      </c>
      <c r="M108" s="106">
        <v>380000</v>
      </c>
      <c r="N108" s="106">
        <v>150000</v>
      </c>
      <c r="O108" s="106">
        <v>175000</v>
      </c>
      <c r="P108" s="106"/>
      <c r="Q108" s="106"/>
      <c r="R108" s="112">
        <f>SUM(K108-L108-L109-L110-M108-M109-M110-N108-O108)</f>
        <v>145000</v>
      </c>
    </row>
    <row r="109" spans="1:18" ht="14.2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ht="14.25" customHeight="1">
      <c r="A111" s="76">
        <v>250900041</v>
      </c>
      <c r="B111" s="76" t="s">
        <v>370</v>
      </c>
      <c r="C111" s="76" t="s">
        <v>15</v>
      </c>
      <c r="D111" s="76" t="s">
        <v>382</v>
      </c>
      <c r="E111" s="76" t="s">
        <v>395</v>
      </c>
      <c r="F111" s="76" t="s">
        <v>25</v>
      </c>
      <c r="G111" s="76" t="s">
        <v>39</v>
      </c>
      <c r="H111" s="92">
        <v>45916</v>
      </c>
      <c r="I111" s="92">
        <v>45918</v>
      </c>
      <c r="J111" s="113" t="s">
        <v>108</v>
      </c>
      <c r="K111" s="106">
        <v>2900000</v>
      </c>
      <c r="L111" s="106">
        <v>1200000</v>
      </c>
      <c r="M111" s="106">
        <v>675000</v>
      </c>
      <c r="N111" s="106">
        <v>375000</v>
      </c>
      <c r="O111" s="106">
        <v>0</v>
      </c>
      <c r="P111" s="106">
        <v>0</v>
      </c>
      <c r="Q111" s="106">
        <v>0</v>
      </c>
      <c r="R111" s="112">
        <f>SUM(K111-L111-L112-L113-M111-M112-M113-N111)</f>
        <v>650000</v>
      </c>
    </row>
    <row r="112" spans="1:18" ht="14.2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ht="14.25" customHeight="1">
      <c r="A114" s="10">
        <v>250900042</v>
      </c>
      <c r="B114" s="10" t="s">
        <v>371</v>
      </c>
      <c r="C114" s="10" t="s">
        <v>32</v>
      </c>
      <c r="D114" s="10" t="s">
        <v>380</v>
      </c>
      <c r="E114" s="74" t="s">
        <v>401</v>
      </c>
      <c r="F114" s="74" t="s">
        <v>408</v>
      </c>
      <c r="G114" s="10" t="s">
        <v>109</v>
      </c>
      <c r="H114" s="11">
        <v>45918</v>
      </c>
      <c r="I114" s="11">
        <v>45918</v>
      </c>
      <c r="J114" s="12" t="s">
        <v>27</v>
      </c>
      <c r="K114" s="25">
        <v>750000</v>
      </c>
      <c r="L114" s="25">
        <v>500000</v>
      </c>
      <c r="M114" s="25">
        <v>180000</v>
      </c>
      <c r="N114" s="25">
        <v>0</v>
      </c>
      <c r="O114" s="25">
        <v>36000</v>
      </c>
      <c r="P114" s="25">
        <v>0</v>
      </c>
      <c r="Q114" s="25">
        <v>0</v>
      </c>
      <c r="R114" s="26">
        <f>SUM(K114-L114-M114-O114)</f>
        <v>34000</v>
      </c>
    </row>
    <row r="115" spans="1:18" ht="14.25" customHeight="1">
      <c r="A115" s="76">
        <v>250900043</v>
      </c>
      <c r="B115" s="76" t="s">
        <v>110</v>
      </c>
      <c r="C115" s="76" t="s">
        <v>111</v>
      </c>
      <c r="D115" s="76" t="s">
        <v>110</v>
      </c>
      <c r="E115" s="76" t="s">
        <v>398</v>
      </c>
      <c r="F115" s="76" t="s">
        <v>58</v>
      </c>
      <c r="G115" s="76" t="s">
        <v>39</v>
      </c>
      <c r="H115" s="92">
        <v>45919</v>
      </c>
      <c r="I115" s="92">
        <v>45922</v>
      </c>
      <c r="J115" s="113" t="s">
        <v>100</v>
      </c>
      <c r="K115" s="106">
        <v>0</v>
      </c>
      <c r="L115" s="106">
        <v>2400000</v>
      </c>
      <c r="M115" s="106">
        <v>0</v>
      </c>
      <c r="N115" s="106">
        <v>0</v>
      </c>
      <c r="O115" s="106">
        <v>0</v>
      </c>
      <c r="P115" s="106">
        <v>0</v>
      </c>
      <c r="Q115" s="106">
        <v>0</v>
      </c>
      <c r="R115" s="112">
        <v>0</v>
      </c>
    </row>
    <row r="116" spans="1:18" ht="14.2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ht="14.2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ht="14.25" customHeight="1">
      <c r="A119" s="76">
        <v>250900044</v>
      </c>
      <c r="B119" s="76" t="s">
        <v>19</v>
      </c>
      <c r="C119" s="76" t="s">
        <v>20</v>
      </c>
      <c r="D119" s="76" t="s">
        <v>112</v>
      </c>
      <c r="E119" s="76" t="s">
        <v>395</v>
      </c>
      <c r="F119" s="76" t="s">
        <v>25</v>
      </c>
      <c r="G119" s="76" t="s">
        <v>42</v>
      </c>
      <c r="H119" s="92">
        <v>45919</v>
      </c>
      <c r="I119" s="92">
        <v>45920</v>
      </c>
      <c r="J119" s="113" t="s">
        <v>103</v>
      </c>
      <c r="K119" s="106">
        <v>700000</v>
      </c>
      <c r="L119" s="106">
        <v>200000</v>
      </c>
      <c r="M119" s="106">
        <v>200000</v>
      </c>
      <c r="N119" s="106">
        <v>90000</v>
      </c>
      <c r="O119" s="106">
        <v>0</v>
      </c>
      <c r="P119" s="106">
        <v>0</v>
      </c>
      <c r="Q119" s="106">
        <v>0</v>
      </c>
      <c r="R119" s="112">
        <f>SUM(K119-L119-L120-M119-M120-N119)</f>
        <v>210000</v>
      </c>
    </row>
    <row r="120" spans="1:18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ht="14.25" customHeight="1">
      <c r="A121" s="76">
        <v>250900045</v>
      </c>
      <c r="B121" s="76" t="s">
        <v>113</v>
      </c>
      <c r="C121" s="76" t="s">
        <v>114</v>
      </c>
      <c r="D121" s="76" t="s">
        <v>113</v>
      </c>
      <c r="E121" s="89" t="s">
        <v>403</v>
      </c>
      <c r="F121" s="76" t="s">
        <v>93</v>
      </c>
      <c r="G121" s="76" t="s">
        <v>61</v>
      </c>
      <c r="H121" s="92">
        <v>45920</v>
      </c>
      <c r="I121" s="92">
        <v>45921</v>
      </c>
      <c r="J121" s="113" t="s">
        <v>115</v>
      </c>
      <c r="K121" s="106">
        <v>5500000</v>
      </c>
      <c r="L121" s="106">
        <v>3000000</v>
      </c>
      <c r="M121" s="106">
        <v>650000</v>
      </c>
      <c r="N121" s="106">
        <v>500000</v>
      </c>
      <c r="O121" s="106">
        <v>333000</v>
      </c>
      <c r="P121" s="106">
        <v>0</v>
      </c>
      <c r="Q121" s="106">
        <v>0</v>
      </c>
      <c r="R121" s="112"/>
    </row>
    <row r="122" spans="1:18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spans="1:18" ht="14.25" customHeight="1">
      <c r="A123" s="76">
        <v>250900046</v>
      </c>
      <c r="B123" s="76" t="s">
        <v>19</v>
      </c>
      <c r="C123" s="76" t="s">
        <v>20</v>
      </c>
      <c r="D123" s="76" t="s">
        <v>116</v>
      </c>
      <c r="E123" s="76" t="s">
        <v>395</v>
      </c>
      <c r="F123" s="76" t="s">
        <v>25</v>
      </c>
      <c r="G123" s="76" t="s">
        <v>117</v>
      </c>
      <c r="H123" s="92">
        <v>45919</v>
      </c>
      <c r="I123" s="92">
        <v>45920</v>
      </c>
      <c r="J123" s="113" t="s">
        <v>103</v>
      </c>
      <c r="K123" s="106">
        <v>700000</v>
      </c>
      <c r="L123" s="106">
        <v>400000</v>
      </c>
      <c r="M123" s="106">
        <v>200000</v>
      </c>
      <c r="N123" s="106">
        <v>0</v>
      </c>
      <c r="O123" s="106">
        <v>0</v>
      </c>
      <c r="P123" s="106">
        <v>0</v>
      </c>
      <c r="Q123" s="106">
        <v>0</v>
      </c>
      <c r="R123" s="112">
        <f>SUM(K123-L123-L124-M123-M124-N123)</f>
        <v>100000</v>
      </c>
    </row>
    <row r="124" spans="1:18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spans="1:18" ht="15" customHeight="1">
      <c r="A125" s="76">
        <v>250900047</v>
      </c>
      <c r="B125" s="76" t="s">
        <v>19</v>
      </c>
      <c r="C125" s="76" t="s">
        <v>20</v>
      </c>
      <c r="D125" s="76" t="s">
        <v>118</v>
      </c>
      <c r="E125" s="89" t="s">
        <v>400</v>
      </c>
      <c r="F125" s="76" t="s">
        <v>81</v>
      </c>
      <c r="G125" s="76" t="s">
        <v>67</v>
      </c>
      <c r="H125" s="92">
        <v>45919</v>
      </c>
      <c r="I125" s="92">
        <v>45921</v>
      </c>
      <c r="J125" s="113" t="s">
        <v>119</v>
      </c>
      <c r="K125" s="106">
        <v>13615564</v>
      </c>
      <c r="L125" s="106">
        <v>7250000</v>
      </c>
      <c r="M125" s="106">
        <v>675000</v>
      </c>
      <c r="N125" s="106">
        <v>300000</v>
      </c>
      <c r="O125" s="106">
        <v>185000</v>
      </c>
      <c r="P125" s="106">
        <v>0</v>
      </c>
      <c r="Q125" s="106">
        <v>0</v>
      </c>
      <c r="R125" s="112">
        <f>SUM(K125-L125-L126-L128-M125-M127-N125-O125)</f>
        <v>5205564</v>
      </c>
    </row>
    <row r="126" spans="1:18" ht="1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</row>
    <row r="127" spans="1:18" ht="1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8"/>
      <c r="L127" s="78"/>
      <c r="M127" s="78"/>
      <c r="N127" s="78"/>
      <c r="O127" s="78"/>
      <c r="P127" s="77"/>
      <c r="Q127" s="77"/>
      <c r="R127" s="78"/>
    </row>
    <row r="128" spans="1:18" ht="14.25" customHeight="1">
      <c r="A128" s="76">
        <v>250900048</v>
      </c>
      <c r="B128" s="76" t="s">
        <v>19</v>
      </c>
      <c r="C128" s="76" t="s">
        <v>20</v>
      </c>
      <c r="D128" s="76" t="s">
        <v>118</v>
      </c>
      <c r="E128" s="89" t="s">
        <v>406</v>
      </c>
      <c r="F128" s="89" t="s">
        <v>409</v>
      </c>
      <c r="G128" s="76" t="s">
        <v>120</v>
      </c>
      <c r="H128" s="92">
        <v>45919</v>
      </c>
      <c r="I128" s="92">
        <v>45921</v>
      </c>
      <c r="J128" s="113" t="s">
        <v>119</v>
      </c>
      <c r="K128" s="106">
        <v>13615565</v>
      </c>
      <c r="L128" s="106"/>
      <c r="M128" s="106"/>
      <c r="N128" s="106"/>
      <c r="O128" s="106"/>
      <c r="P128" s="106">
        <v>0</v>
      </c>
      <c r="Q128" s="106">
        <v>0</v>
      </c>
      <c r="R128" s="112">
        <f>SUM(K128-L128-L129-L130-L131-M128-M129-M130-N128-O128)</f>
        <v>13315565</v>
      </c>
    </row>
    <row r="129" spans="1:18" ht="14.2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</row>
    <row r="130" spans="1:18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8"/>
    </row>
    <row r="131" spans="1:18" ht="14.25" customHeight="1">
      <c r="A131" s="10">
        <v>250900049</v>
      </c>
      <c r="B131" s="10" t="s">
        <v>372</v>
      </c>
      <c r="C131" s="10" t="s">
        <v>121</v>
      </c>
      <c r="D131" s="10" t="s">
        <v>383</v>
      </c>
      <c r="E131" s="74" t="s">
        <v>404</v>
      </c>
      <c r="F131" s="10" t="s">
        <v>106</v>
      </c>
      <c r="G131" s="10" t="s">
        <v>22</v>
      </c>
      <c r="H131" s="11">
        <v>45920</v>
      </c>
      <c r="I131" s="11">
        <v>45920</v>
      </c>
      <c r="J131" s="12" t="s">
        <v>122</v>
      </c>
      <c r="K131" s="28">
        <v>1400000</v>
      </c>
      <c r="L131" s="28">
        <v>300000</v>
      </c>
      <c r="M131" s="28">
        <v>300000</v>
      </c>
      <c r="N131" s="28">
        <v>325000</v>
      </c>
      <c r="O131" s="28">
        <v>360000</v>
      </c>
      <c r="P131" s="25">
        <v>0</v>
      </c>
      <c r="Q131" s="25">
        <v>0</v>
      </c>
      <c r="R131" s="29">
        <f>SUM(K131-L131-M131-N131-O131)</f>
        <v>115000</v>
      </c>
    </row>
    <row r="132" spans="1:18" ht="15" customHeight="1">
      <c r="A132" s="76">
        <v>250900050</v>
      </c>
      <c r="B132" s="91" t="s">
        <v>123</v>
      </c>
      <c r="C132" s="91" t="s">
        <v>124</v>
      </c>
      <c r="D132" s="91" t="s">
        <v>123</v>
      </c>
      <c r="E132" s="91" t="s">
        <v>395</v>
      </c>
      <c r="F132" s="91" t="s">
        <v>25</v>
      </c>
      <c r="G132" s="91" t="s">
        <v>125</v>
      </c>
      <c r="H132" s="92">
        <v>45921</v>
      </c>
      <c r="I132" s="92">
        <v>45923</v>
      </c>
      <c r="J132" s="113" t="s">
        <v>126</v>
      </c>
      <c r="K132" s="106">
        <v>3500000</v>
      </c>
      <c r="L132" s="106">
        <v>1350000</v>
      </c>
      <c r="M132" s="106"/>
      <c r="N132" s="106"/>
      <c r="O132" s="106"/>
      <c r="P132" s="106"/>
      <c r="Q132" s="106"/>
      <c r="R132" s="112"/>
    </row>
    <row r="133" spans="1:18" ht="1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</row>
    <row r="134" spans="1:18" ht="1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spans="1:18" ht="14.25" customHeight="1">
      <c r="A135" s="76">
        <v>250900051</v>
      </c>
      <c r="B135" s="76" t="s">
        <v>19</v>
      </c>
      <c r="C135" s="76" t="s">
        <v>20</v>
      </c>
      <c r="D135" s="76" t="s">
        <v>55</v>
      </c>
      <c r="E135" s="91" t="s">
        <v>395</v>
      </c>
      <c r="F135" s="91" t="s">
        <v>25</v>
      </c>
      <c r="G135" s="76" t="s">
        <v>101</v>
      </c>
      <c r="H135" s="92">
        <v>45921</v>
      </c>
      <c r="I135" s="92">
        <v>45922</v>
      </c>
      <c r="J135" s="113" t="s">
        <v>103</v>
      </c>
      <c r="K135" s="106">
        <v>700000</v>
      </c>
      <c r="L135" s="106">
        <v>400000</v>
      </c>
      <c r="M135" s="106">
        <v>200000</v>
      </c>
      <c r="N135" s="106">
        <v>75000</v>
      </c>
      <c r="O135" s="106">
        <v>0</v>
      </c>
      <c r="P135" s="106">
        <v>0</v>
      </c>
      <c r="Q135" s="106">
        <v>0</v>
      </c>
      <c r="R135" s="112">
        <f>SUM(K135-L135-L136-M135-M136-N135)</f>
        <v>25000</v>
      </c>
    </row>
    <row r="136" spans="1:18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spans="1:18" ht="14.25" customHeight="1">
      <c r="A137" s="10">
        <v>250900052</v>
      </c>
      <c r="B137" s="10" t="s">
        <v>371</v>
      </c>
      <c r="C137" s="10" t="s">
        <v>32</v>
      </c>
      <c r="D137" s="10" t="s">
        <v>380</v>
      </c>
      <c r="E137" s="10" t="s">
        <v>395</v>
      </c>
      <c r="F137" s="10" t="s">
        <v>25</v>
      </c>
      <c r="G137" s="10" t="s">
        <v>17</v>
      </c>
      <c r="H137" s="11">
        <v>45921</v>
      </c>
      <c r="I137" s="11">
        <v>45921</v>
      </c>
      <c r="J137" s="12" t="s">
        <v>27</v>
      </c>
      <c r="K137" s="23">
        <v>925000</v>
      </c>
      <c r="L137" s="23">
        <v>375000</v>
      </c>
      <c r="M137" s="23">
        <v>180000</v>
      </c>
      <c r="N137" s="23">
        <v>120000</v>
      </c>
      <c r="O137" s="23">
        <v>10000</v>
      </c>
      <c r="P137" s="23">
        <v>50000</v>
      </c>
      <c r="Q137" s="23" t="s">
        <v>33</v>
      </c>
      <c r="R137" s="30">
        <f>SUM(K137-L137-M137-N137-O137-P137)</f>
        <v>190000</v>
      </c>
    </row>
    <row r="138" spans="1:18" ht="14.25" customHeight="1">
      <c r="A138" s="10">
        <v>250900053</v>
      </c>
      <c r="B138" s="10" t="s">
        <v>127</v>
      </c>
      <c r="C138" s="10" t="s">
        <v>128</v>
      </c>
      <c r="D138" s="10" t="s">
        <v>127</v>
      </c>
      <c r="E138" s="74" t="s">
        <v>398</v>
      </c>
      <c r="F138" s="10" t="s">
        <v>58</v>
      </c>
      <c r="G138" s="10" t="s">
        <v>109</v>
      </c>
      <c r="H138" s="11">
        <v>45921</v>
      </c>
      <c r="I138" s="11">
        <v>45921</v>
      </c>
      <c r="J138" s="12" t="s">
        <v>129</v>
      </c>
      <c r="K138" s="23">
        <v>1600000</v>
      </c>
      <c r="L138" s="23">
        <v>600000</v>
      </c>
      <c r="M138" s="23">
        <v>300000</v>
      </c>
      <c r="N138" s="23">
        <v>390000</v>
      </c>
      <c r="O138" s="23">
        <v>0</v>
      </c>
      <c r="P138" s="23">
        <v>0</v>
      </c>
      <c r="Q138" s="23"/>
      <c r="R138" s="30">
        <f>SUM(K138-L138-M138-N138)</f>
        <v>310000</v>
      </c>
    </row>
    <row r="139" spans="1:18" ht="14.25" customHeight="1">
      <c r="A139" s="76">
        <v>250900054</v>
      </c>
      <c r="B139" s="76" t="s">
        <v>19</v>
      </c>
      <c r="C139" s="76" t="s">
        <v>20</v>
      </c>
      <c r="D139" s="76" t="s">
        <v>116</v>
      </c>
      <c r="E139" s="76" t="s">
        <v>395</v>
      </c>
      <c r="F139" s="76" t="s">
        <v>25</v>
      </c>
      <c r="G139" s="76" t="s">
        <v>67</v>
      </c>
      <c r="H139" s="92">
        <v>45923</v>
      </c>
      <c r="I139" s="92">
        <v>45924</v>
      </c>
      <c r="J139" s="113" t="s">
        <v>103</v>
      </c>
      <c r="K139" s="106">
        <v>700000</v>
      </c>
      <c r="L139" s="106">
        <v>400000</v>
      </c>
      <c r="M139" s="106">
        <v>200000</v>
      </c>
      <c r="N139" s="106">
        <v>0</v>
      </c>
      <c r="O139" s="106">
        <v>0</v>
      </c>
      <c r="P139" s="106">
        <v>0</v>
      </c>
      <c r="Q139" s="106">
        <v>0</v>
      </c>
      <c r="R139" s="112">
        <f>SUM(K139-L139-L140-M139-M140)</f>
        <v>100000</v>
      </c>
    </row>
    <row r="140" spans="1:18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spans="1:18" ht="14.25" customHeight="1">
      <c r="A141" s="76">
        <v>250900055</v>
      </c>
      <c r="B141" s="76" t="s">
        <v>131</v>
      </c>
      <c r="C141" s="76" t="s">
        <v>132</v>
      </c>
      <c r="D141" s="76" t="s">
        <v>131</v>
      </c>
      <c r="E141" s="76" t="s">
        <v>395</v>
      </c>
      <c r="F141" s="76" t="s">
        <v>25</v>
      </c>
      <c r="G141" s="76" t="s">
        <v>17</v>
      </c>
      <c r="H141" s="92">
        <v>45922</v>
      </c>
      <c r="I141" s="92">
        <v>45923</v>
      </c>
      <c r="J141" s="113" t="s">
        <v>133</v>
      </c>
      <c r="K141" s="106">
        <v>1774000</v>
      </c>
      <c r="L141" s="106">
        <v>750000</v>
      </c>
      <c r="M141" s="106">
        <v>360000</v>
      </c>
      <c r="N141" s="106">
        <v>240000</v>
      </c>
      <c r="O141" s="106">
        <v>139000</v>
      </c>
      <c r="P141" s="106">
        <v>0</v>
      </c>
      <c r="Q141" s="106">
        <v>0</v>
      </c>
      <c r="R141" s="112">
        <f>SUM(K141-L141-L142-M141-M142-N141)</f>
        <v>424000</v>
      </c>
    </row>
    <row r="142" spans="1:18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spans="1:18" ht="14.25" customHeight="1">
      <c r="A143" s="76">
        <v>250900056</v>
      </c>
      <c r="B143" s="76" t="s">
        <v>371</v>
      </c>
      <c r="C143" s="76" t="s">
        <v>32</v>
      </c>
      <c r="D143" s="76" t="s">
        <v>380</v>
      </c>
      <c r="E143" s="76" t="s">
        <v>395</v>
      </c>
      <c r="F143" s="76" t="s">
        <v>25</v>
      </c>
      <c r="G143" s="81" t="s">
        <v>36</v>
      </c>
      <c r="H143" s="99">
        <v>45923</v>
      </c>
      <c r="I143" s="99">
        <v>45926</v>
      </c>
      <c r="J143" s="102" t="s">
        <v>27</v>
      </c>
      <c r="K143" s="106">
        <v>4175000</v>
      </c>
      <c r="L143" s="106">
        <v>1800000</v>
      </c>
      <c r="M143" s="106">
        <v>720000</v>
      </c>
      <c r="N143" s="106">
        <v>259000</v>
      </c>
      <c r="O143" s="106">
        <v>634000</v>
      </c>
      <c r="P143" s="106">
        <v>200000</v>
      </c>
      <c r="Q143" s="106" t="s">
        <v>33</v>
      </c>
      <c r="R143" s="112">
        <f>SUM(K143-L143-L144-L145-L146-M143-M144-M145-M146-N143-O143-P143)</f>
        <v>562000</v>
      </c>
    </row>
    <row r="144" spans="1:18" ht="14.25" customHeight="1">
      <c r="A144" s="78"/>
      <c r="B144" s="78"/>
      <c r="C144" s="78"/>
      <c r="D144" s="78"/>
      <c r="E144" s="78"/>
      <c r="F144" s="78"/>
      <c r="G144" s="88"/>
      <c r="H144" s="100"/>
      <c r="I144" s="100"/>
      <c r="J144" s="103"/>
      <c r="K144" s="78"/>
      <c r="L144" s="78"/>
      <c r="M144" s="78"/>
      <c r="N144" s="78"/>
      <c r="O144" s="78"/>
      <c r="P144" s="78"/>
      <c r="Q144" s="78"/>
      <c r="R144" s="78"/>
    </row>
    <row r="145" spans="1:18" ht="14.25" customHeight="1">
      <c r="A145" s="78"/>
      <c r="B145" s="78"/>
      <c r="C145" s="78"/>
      <c r="D145" s="78"/>
      <c r="E145" s="78"/>
      <c r="F145" s="78"/>
      <c r="G145" s="88"/>
      <c r="H145" s="100"/>
      <c r="I145" s="100"/>
      <c r="J145" s="103"/>
      <c r="K145" s="78"/>
      <c r="L145" s="78"/>
      <c r="M145" s="78"/>
      <c r="N145" s="78"/>
      <c r="O145" s="78"/>
      <c r="P145" s="78"/>
      <c r="Q145" s="78"/>
      <c r="R145" s="78"/>
    </row>
    <row r="146" spans="1:18" ht="14.25" customHeight="1">
      <c r="A146" s="77"/>
      <c r="B146" s="77"/>
      <c r="C146" s="77"/>
      <c r="D146" s="77"/>
      <c r="E146" s="77"/>
      <c r="F146" s="77"/>
      <c r="G146" s="82"/>
      <c r="H146" s="101"/>
      <c r="I146" s="101"/>
      <c r="J146" s="104"/>
      <c r="K146" s="77"/>
      <c r="L146" s="77"/>
      <c r="M146" s="77"/>
      <c r="N146" s="77"/>
      <c r="O146" s="77"/>
      <c r="P146" s="77"/>
      <c r="Q146" s="77"/>
      <c r="R146" s="77"/>
    </row>
    <row r="147" spans="1:18" ht="14.25" customHeight="1">
      <c r="A147" s="10">
        <v>250900057</v>
      </c>
      <c r="B147" s="10" t="s">
        <v>374</v>
      </c>
      <c r="C147" s="10" t="s">
        <v>104</v>
      </c>
      <c r="D147" s="10" t="s">
        <v>374</v>
      </c>
      <c r="E147" s="74" t="s">
        <v>404</v>
      </c>
      <c r="F147" s="10" t="s">
        <v>106</v>
      </c>
      <c r="G147" s="10" t="s">
        <v>22</v>
      </c>
      <c r="H147" s="11">
        <v>45923</v>
      </c>
      <c r="I147" s="11">
        <v>45923</v>
      </c>
      <c r="J147" s="12" t="s">
        <v>134</v>
      </c>
      <c r="K147" s="25">
        <v>720001</v>
      </c>
      <c r="L147" s="31">
        <v>250000</v>
      </c>
      <c r="M147" s="31">
        <v>225000</v>
      </c>
      <c r="N147" s="25">
        <v>200000</v>
      </c>
      <c r="O147" s="25">
        <v>0</v>
      </c>
      <c r="P147" s="25">
        <v>0</v>
      </c>
      <c r="Q147" s="25">
        <v>0</v>
      </c>
      <c r="R147" s="26">
        <f>SUM(K147-L147-M147-N147)</f>
        <v>45001</v>
      </c>
    </row>
    <row r="148" spans="1:18" ht="14.25" customHeight="1">
      <c r="A148" s="10">
        <v>250900058</v>
      </c>
      <c r="B148" s="10" t="s">
        <v>135</v>
      </c>
      <c r="C148" s="10" t="s">
        <v>136</v>
      </c>
      <c r="D148" s="10" t="s">
        <v>135</v>
      </c>
      <c r="E148" s="74" t="s">
        <v>404</v>
      </c>
      <c r="F148" s="10" t="s">
        <v>106</v>
      </c>
      <c r="G148" s="10" t="s">
        <v>22</v>
      </c>
      <c r="H148" s="11">
        <v>45924</v>
      </c>
      <c r="I148" s="11">
        <v>45923</v>
      </c>
      <c r="J148" s="12" t="s">
        <v>137</v>
      </c>
      <c r="K148" s="25">
        <v>900000</v>
      </c>
      <c r="L148" s="31">
        <v>250000</v>
      </c>
      <c r="M148" s="31">
        <v>225000</v>
      </c>
      <c r="N148" s="25">
        <v>150000</v>
      </c>
      <c r="O148" s="25">
        <v>140500</v>
      </c>
      <c r="P148" s="25">
        <v>0</v>
      </c>
      <c r="Q148" s="25">
        <v>0</v>
      </c>
      <c r="R148" s="26">
        <f>SUM(K148-L148-M148-N148-O148)</f>
        <v>134500</v>
      </c>
    </row>
    <row r="149" spans="1:18" ht="14.25" customHeight="1">
      <c r="A149" s="10">
        <v>250900059</v>
      </c>
      <c r="B149" s="10" t="s">
        <v>138</v>
      </c>
      <c r="C149" s="10" t="s">
        <v>139</v>
      </c>
      <c r="D149" s="10" t="s">
        <v>138</v>
      </c>
      <c r="E149" s="74" t="s">
        <v>396</v>
      </c>
      <c r="F149" s="10" t="s">
        <v>38</v>
      </c>
      <c r="G149" s="10" t="s">
        <v>59</v>
      </c>
      <c r="H149" s="11">
        <v>45924</v>
      </c>
      <c r="I149" s="11">
        <v>45924</v>
      </c>
      <c r="J149" s="12" t="s">
        <v>137</v>
      </c>
      <c r="K149" s="25">
        <v>1500000</v>
      </c>
      <c r="L149" s="31">
        <v>700000</v>
      </c>
      <c r="M149" s="31">
        <v>250000</v>
      </c>
      <c r="N149" s="25">
        <v>200000</v>
      </c>
      <c r="O149" s="25">
        <v>0</v>
      </c>
      <c r="P149" s="25">
        <v>0</v>
      </c>
      <c r="Q149" s="25">
        <v>0</v>
      </c>
      <c r="R149" s="26">
        <f t="shared" ref="R149:R150" si="2">SUM(K149-L149-M149-N149)</f>
        <v>350000</v>
      </c>
    </row>
    <row r="150" spans="1:18" ht="14.25" customHeight="1">
      <c r="A150" s="76">
        <v>250900060</v>
      </c>
      <c r="B150" s="76" t="s">
        <v>373</v>
      </c>
      <c r="C150" s="76" t="s">
        <v>28</v>
      </c>
      <c r="D150" s="76" t="s">
        <v>140</v>
      </c>
      <c r="E150" s="76" t="s">
        <v>395</v>
      </c>
      <c r="F150" s="76" t="s">
        <v>25</v>
      </c>
      <c r="G150" s="76" t="s">
        <v>22</v>
      </c>
      <c r="H150" s="92">
        <v>45925</v>
      </c>
      <c r="I150" s="92">
        <v>45926</v>
      </c>
      <c r="J150" s="113" t="s">
        <v>141</v>
      </c>
      <c r="K150" s="106">
        <v>1824001</v>
      </c>
      <c r="L150" s="108">
        <v>750000</v>
      </c>
      <c r="M150" s="108">
        <v>450000</v>
      </c>
      <c r="N150" s="106">
        <v>185000</v>
      </c>
      <c r="O150" s="106">
        <v>0</v>
      </c>
      <c r="P150" s="106">
        <v>0</v>
      </c>
      <c r="Q150" s="106">
        <v>0</v>
      </c>
      <c r="R150" s="112">
        <f t="shared" si="2"/>
        <v>439001</v>
      </c>
    </row>
    <row r="151" spans="1:18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spans="1:18" ht="14.25" customHeight="1">
      <c r="A152" s="10">
        <v>250900061</v>
      </c>
      <c r="B152" s="10" t="s">
        <v>373</v>
      </c>
      <c r="C152" s="10" t="s">
        <v>28</v>
      </c>
      <c r="D152" s="10" t="s">
        <v>142</v>
      </c>
      <c r="E152" s="10" t="s">
        <v>395</v>
      </c>
      <c r="F152" s="10" t="s">
        <v>25</v>
      </c>
      <c r="G152" s="10" t="s">
        <v>39</v>
      </c>
      <c r="H152" s="11">
        <v>45925</v>
      </c>
      <c r="I152" s="11">
        <v>45925</v>
      </c>
      <c r="J152" s="12" t="s">
        <v>143</v>
      </c>
      <c r="K152" s="25">
        <v>912001</v>
      </c>
      <c r="L152" s="31">
        <v>400000</v>
      </c>
      <c r="M152" s="31">
        <v>225000</v>
      </c>
      <c r="N152" s="25">
        <v>210000</v>
      </c>
      <c r="O152" s="25">
        <v>9000</v>
      </c>
      <c r="P152" s="25">
        <v>0</v>
      </c>
      <c r="Q152" s="25">
        <v>0</v>
      </c>
      <c r="R152" s="26">
        <f>SUM(K152-L152-M152-N152-O152)</f>
        <v>68001</v>
      </c>
    </row>
    <row r="153" spans="1:18" ht="15" customHeight="1">
      <c r="A153" s="76">
        <v>250900062</v>
      </c>
      <c r="B153" s="76" t="s">
        <v>371</v>
      </c>
      <c r="C153" s="76" t="s">
        <v>32</v>
      </c>
      <c r="D153" s="76" t="s">
        <v>380</v>
      </c>
      <c r="E153" s="89" t="s">
        <v>397</v>
      </c>
      <c r="F153" s="76" t="s">
        <v>144</v>
      </c>
      <c r="G153" s="76" t="s">
        <v>59</v>
      </c>
      <c r="H153" s="92">
        <v>45925</v>
      </c>
      <c r="I153" s="92">
        <v>45927</v>
      </c>
      <c r="J153" s="113" t="s">
        <v>145</v>
      </c>
      <c r="K153" s="106">
        <v>22950000</v>
      </c>
      <c r="L153" s="106">
        <v>8150000</v>
      </c>
      <c r="M153" s="106">
        <v>1350000</v>
      </c>
      <c r="N153" s="106">
        <v>1164000</v>
      </c>
      <c r="O153" s="106">
        <v>696500</v>
      </c>
      <c r="P153" s="106">
        <v>200000</v>
      </c>
      <c r="Q153" s="106">
        <v>7000000</v>
      </c>
      <c r="R153" s="112">
        <f>SUM(K153-L153-L154-L155-L156-L157-M153-M154-M155-M156-M157-N153-N156-O153-P153-Q153)</f>
        <v>4389500</v>
      </c>
    </row>
    <row r="154" spans="1:18" ht="1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</row>
    <row r="155" spans="1:18" ht="1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</row>
    <row r="156" spans="1:18" ht="14.2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</row>
    <row r="157" spans="1:18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spans="1:18" ht="14.25" customHeight="1">
      <c r="A158" s="10">
        <v>250900065</v>
      </c>
      <c r="B158" s="10" t="s">
        <v>371</v>
      </c>
      <c r="C158" s="10" t="s">
        <v>32</v>
      </c>
      <c r="D158" s="10" t="s">
        <v>384</v>
      </c>
      <c r="E158" s="10" t="s">
        <v>395</v>
      </c>
      <c r="F158" s="10" t="s">
        <v>25</v>
      </c>
      <c r="G158" s="10" t="s">
        <v>67</v>
      </c>
      <c r="H158" s="11">
        <v>45924</v>
      </c>
      <c r="I158" s="11">
        <v>45924</v>
      </c>
      <c r="J158" s="12" t="s">
        <v>146</v>
      </c>
      <c r="K158" s="25">
        <v>350000</v>
      </c>
      <c r="L158" s="25">
        <v>0</v>
      </c>
      <c r="M158" s="25">
        <v>100000</v>
      </c>
      <c r="N158" s="25">
        <v>80000</v>
      </c>
      <c r="O158" s="25">
        <v>36000</v>
      </c>
      <c r="P158" s="25">
        <v>34000</v>
      </c>
      <c r="Q158" s="25" t="s">
        <v>147</v>
      </c>
      <c r="R158" s="26">
        <f>SUM(K158-L158-M158-N158-O158-P158)</f>
        <v>100000</v>
      </c>
    </row>
    <row r="159" spans="1:18" ht="14.25" customHeight="1">
      <c r="A159" s="76">
        <v>250900066</v>
      </c>
      <c r="B159" s="76" t="s">
        <v>375</v>
      </c>
      <c r="C159" s="76" t="s">
        <v>86</v>
      </c>
      <c r="D159" s="76" t="s">
        <v>386</v>
      </c>
      <c r="E159" s="76" t="s">
        <v>401</v>
      </c>
      <c r="F159" s="76" t="s">
        <v>408</v>
      </c>
      <c r="G159" s="76" t="s">
        <v>36</v>
      </c>
      <c r="H159" s="92">
        <v>45926</v>
      </c>
      <c r="I159" s="92">
        <v>45929</v>
      </c>
      <c r="J159" s="136" t="s">
        <v>148</v>
      </c>
      <c r="K159" s="106">
        <v>6376000</v>
      </c>
      <c r="L159" s="106">
        <v>2000000</v>
      </c>
      <c r="M159" s="106">
        <v>1100000</v>
      </c>
      <c r="N159" s="134">
        <v>424000</v>
      </c>
      <c r="O159" s="134">
        <v>376000</v>
      </c>
      <c r="P159" s="134">
        <v>43000</v>
      </c>
      <c r="Q159" s="134" t="s">
        <v>149</v>
      </c>
      <c r="R159" s="135">
        <f>SUM(K159-L159-L160-L161-L162-M159-M160-M161-M162-N159-P159)</f>
        <v>2809000</v>
      </c>
    </row>
    <row r="160" spans="1:18" ht="14.2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</row>
    <row r="161" spans="1:18" ht="14.2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</row>
    <row r="162" spans="1:18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spans="1:18" ht="14.25" customHeight="1">
      <c r="A163" s="10">
        <v>250900067</v>
      </c>
      <c r="B163" s="10" t="s">
        <v>150</v>
      </c>
      <c r="C163" s="10" t="s">
        <v>151</v>
      </c>
      <c r="D163" s="10" t="s">
        <v>150</v>
      </c>
      <c r="E163" s="10" t="s">
        <v>395</v>
      </c>
      <c r="F163" s="10" t="s">
        <v>25</v>
      </c>
      <c r="G163" s="10" t="s">
        <v>36</v>
      </c>
      <c r="H163" s="11">
        <v>45925</v>
      </c>
      <c r="I163" s="11">
        <v>45925</v>
      </c>
      <c r="J163" s="12" t="s">
        <v>137</v>
      </c>
      <c r="K163" s="25">
        <v>900000</v>
      </c>
      <c r="L163" s="25">
        <v>400000</v>
      </c>
      <c r="M163" s="25">
        <v>225000</v>
      </c>
      <c r="N163" s="25">
        <v>200000</v>
      </c>
      <c r="O163" s="25">
        <v>0</v>
      </c>
      <c r="P163" s="25">
        <v>0</v>
      </c>
      <c r="Q163" s="25">
        <v>0</v>
      </c>
      <c r="R163" s="26">
        <f>SUM(K163-L163-M163-N163)</f>
        <v>75000</v>
      </c>
    </row>
    <row r="164" spans="1:18" ht="14.25" customHeight="1">
      <c r="A164" s="10">
        <v>250900068</v>
      </c>
      <c r="B164" s="10" t="s">
        <v>152</v>
      </c>
      <c r="C164" s="10" t="s">
        <v>153</v>
      </c>
      <c r="D164" s="10" t="s">
        <v>152</v>
      </c>
      <c r="E164" s="74" t="s">
        <v>396</v>
      </c>
      <c r="F164" s="74" t="s">
        <v>38</v>
      </c>
      <c r="G164" s="10" t="s">
        <v>22</v>
      </c>
      <c r="H164" s="11">
        <v>45928</v>
      </c>
      <c r="I164" s="11">
        <v>45928</v>
      </c>
      <c r="J164" s="12" t="s">
        <v>137</v>
      </c>
      <c r="K164" s="25">
        <v>1900000</v>
      </c>
      <c r="L164" s="23">
        <v>750000</v>
      </c>
      <c r="M164" s="23">
        <v>250000</v>
      </c>
      <c r="N164" s="25">
        <v>300000</v>
      </c>
      <c r="O164" s="25">
        <v>265000</v>
      </c>
      <c r="P164" s="25">
        <v>0</v>
      </c>
      <c r="Q164" s="25">
        <v>0</v>
      </c>
      <c r="R164" s="32">
        <f>SUM(K164-L164-M164-N164-O164)</f>
        <v>335000</v>
      </c>
    </row>
    <row r="165" spans="1:18" ht="14.25" customHeight="1">
      <c r="A165" s="76">
        <v>250900069</v>
      </c>
      <c r="B165" s="76" t="s">
        <v>371</v>
      </c>
      <c r="C165" s="76" t="s">
        <v>32</v>
      </c>
      <c r="D165" s="76" t="s">
        <v>380</v>
      </c>
      <c r="E165" s="76" t="s">
        <v>396</v>
      </c>
      <c r="F165" s="89" t="s">
        <v>38</v>
      </c>
      <c r="G165" s="76" t="s">
        <v>61</v>
      </c>
      <c r="H165" s="92">
        <v>45927</v>
      </c>
      <c r="I165" s="92">
        <v>45928</v>
      </c>
      <c r="J165" s="113" t="s">
        <v>48</v>
      </c>
      <c r="K165" s="106">
        <v>3098000</v>
      </c>
      <c r="L165" s="106">
        <v>1500000</v>
      </c>
      <c r="M165" s="106">
        <v>500000</v>
      </c>
      <c r="N165" s="106">
        <v>300000</v>
      </c>
      <c r="O165" s="106">
        <v>198000</v>
      </c>
      <c r="P165" s="106">
        <v>0</v>
      </c>
      <c r="Q165" s="106">
        <v>0</v>
      </c>
      <c r="R165" s="112">
        <f>SUM(K165-L165-L166-M165-M166-N165-O165)</f>
        <v>600000</v>
      </c>
    </row>
    <row r="166" spans="1:18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spans="1:18" ht="14.25" customHeight="1">
      <c r="A167" s="76">
        <v>250900070</v>
      </c>
      <c r="B167" s="76" t="s">
        <v>19</v>
      </c>
      <c r="C167" s="76" t="s">
        <v>20</v>
      </c>
      <c r="D167" s="76" t="s">
        <v>116</v>
      </c>
      <c r="E167" s="76" t="s">
        <v>395</v>
      </c>
      <c r="F167" s="76" t="s">
        <v>25</v>
      </c>
      <c r="G167" s="76" t="s">
        <v>17</v>
      </c>
      <c r="H167" s="92">
        <v>45927</v>
      </c>
      <c r="I167" s="92">
        <v>45928</v>
      </c>
      <c r="J167" s="113" t="s">
        <v>103</v>
      </c>
      <c r="K167" s="106">
        <v>700000</v>
      </c>
      <c r="L167" s="106">
        <v>400000</v>
      </c>
      <c r="M167" s="106">
        <v>100000</v>
      </c>
      <c r="N167" s="106">
        <v>0</v>
      </c>
      <c r="O167" s="106">
        <v>0</v>
      </c>
      <c r="P167" s="106">
        <v>0</v>
      </c>
      <c r="Q167" s="106">
        <v>0</v>
      </c>
      <c r="R167" s="112">
        <f>SUM(K167-L167-L168-M167-M168)</f>
        <v>200000</v>
      </c>
    </row>
    <row r="168" spans="1:18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1:18" ht="14.25" customHeight="1">
      <c r="A169" s="10">
        <v>250900071</v>
      </c>
      <c r="B169" s="10" t="s">
        <v>373</v>
      </c>
      <c r="C169" s="10" t="s">
        <v>28</v>
      </c>
      <c r="D169" s="10" t="s">
        <v>373</v>
      </c>
      <c r="E169" s="10" t="s">
        <v>395</v>
      </c>
      <c r="F169" s="10" t="s">
        <v>25</v>
      </c>
      <c r="G169" s="10" t="s">
        <v>39</v>
      </c>
      <c r="H169" s="11">
        <v>45930</v>
      </c>
      <c r="I169" s="11">
        <v>45930</v>
      </c>
      <c r="J169" s="12" t="s">
        <v>154</v>
      </c>
      <c r="K169" s="18">
        <v>912000</v>
      </c>
      <c r="L169" s="18">
        <v>400000</v>
      </c>
      <c r="M169" s="18">
        <v>225000</v>
      </c>
      <c r="N169" s="18">
        <v>200000</v>
      </c>
      <c r="O169" s="18">
        <v>0</v>
      </c>
      <c r="P169" s="18">
        <v>0</v>
      </c>
      <c r="Q169" s="18">
        <v>0</v>
      </c>
      <c r="R169" s="33">
        <f>SUM(K169-L169-M169-N169)</f>
        <v>87000</v>
      </c>
    </row>
    <row r="170" spans="1:18" ht="14.25" customHeight="1">
      <c r="A170" s="76">
        <v>251000001</v>
      </c>
      <c r="B170" s="76" t="s">
        <v>19</v>
      </c>
      <c r="C170" s="76" t="s">
        <v>20</v>
      </c>
      <c r="D170" s="76" t="s">
        <v>390</v>
      </c>
      <c r="E170" s="76" t="s">
        <v>395</v>
      </c>
      <c r="F170" s="76" t="s">
        <v>25</v>
      </c>
      <c r="G170" s="76" t="s">
        <v>67</v>
      </c>
      <c r="H170" s="92">
        <v>45928</v>
      </c>
      <c r="I170" s="92">
        <v>45932</v>
      </c>
      <c r="J170" s="113" t="s">
        <v>57</v>
      </c>
      <c r="K170" s="117">
        <v>3457715</v>
      </c>
      <c r="L170" s="117">
        <v>1800000</v>
      </c>
      <c r="M170" s="117">
        <v>955000</v>
      </c>
      <c r="N170" s="117">
        <v>300000</v>
      </c>
      <c r="O170" s="117">
        <v>0</v>
      </c>
      <c r="P170" s="117">
        <v>100000</v>
      </c>
      <c r="Q170" s="117" t="s">
        <v>155</v>
      </c>
      <c r="R170" s="125">
        <f>SUM(K170-L170-L171-L172-L173-L174-M170-M171-M172-M173-M174-N170-P170)</f>
        <v>302715</v>
      </c>
    </row>
    <row r="171" spans="1:18" ht="14.2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</row>
    <row r="172" spans="1:18" ht="14.2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</row>
    <row r="173" spans="1:18" ht="14.2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</row>
    <row r="174" spans="1:18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spans="1:18" ht="14.25" customHeight="1">
      <c r="A175" s="76">
        <v>251000002</v>
      </c>
      <c r="B175" s="76" t="s">
        <v>19</v>
      </c>
      <c r="C175" s="76" t="s">
        <v>20</v>
      </c>
      <c r="D175" s="76" t="s">
        <v>112</v>
      </c>
      <c r="E175" s="76" t="s">
        <v>395</v>
      </c>
      <c r="F175" s="76" t="s">
        <v>25</v>
      </c>
      <c r="G175" s="76" t="s">
        <v>22</v>
      </c>
      <c r="H175" s="92">
        <v>45929</v>
      </c>
      <c r="I175" s="92">
        <v>45932</v>
      </c>
      <c r="J175" s="113" t="s">
        <v>57</v>
      </c>
      <c r="K175" s="117">
        <v>2946834</v>
      </c>
      <c r="L175" s="117">
        <v>1500000</v>
      </c>
      <c r="M175" s="117">
        <v>775000</v>
      </c>
      <c r="N175" s="117">
        <v>250000</v>
      </c>
      <c r="O175" s="117">
        <v>0</v>
      </c>
      <c r="P175" s="117">
        <v>0</v>
      </c>
      <c r="Q175" s="117">
        <v>0</v>
      </c>
      <c r="R175" s="125">
        <f>SUM(K175-L175-L176-L177-L178-M175-M176-M177-M178-N175)</f>
        <v>421834</v>
      </c>
    </row>
    <row r="176" spans="1:18" ht="14.2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</row>
    <row r="177" spans="1:18" ht="14.2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</row>
    <row r="178" spans="1:18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spans="1:18" ht="14.25" customHeight="1">
      <c r="A179" s="76">
        <v>251000003</v>
      </c>
      <c r="B179" s="76" t="s">
        <v>19</v>
      </c>
      <c r="C179" s="76" t="s">
        <v>20</v>
      </c>
      <c r="D179" s="76" t="s">
        <v>53</v>
      </c>
      <c r="E179" s="76" t="s">
        <v>395</v>
      </c>
      <c r="F179" s="76" t="s">
        <v>25</v>
      </c>
      <c r="G179" s="76" t="s">
        <v>39</v>
      </c>
      <c r="H179" s="92">
        <v>45931</v>
      </c>
      <c r="I179" s="92">
        <v>45933</v>
      </c>
      <c r="J179" s="113" t="s">
        <v>102</v>
      </c>
      <c r="K179" s="117">
        <v>2653730</v>
      </c>
      <c r="L179" s="117">
        <v>1125000</v>
      </c>
      <c r="M179" s="117">
        <v>675000</v>
      </c>
      <c r="N179" s="117">
        <v>200000</v>
      </c>
      <c r="O179" s="117">
        <v>0</v>
      </c>
      <c r="P179" s="117">
        <v>46000</v>
      </c>
      <c r="Q179" s="117">
        <v>0</v>
      </c>
      <c r="R179" s="125">
        <f>SUM(K179-L179-L180-L181-M179-M180-M181-N179-N180-P179)</f>
        <v>607730</v>
      </c>
    </row>
    <row r="180" spans="1:18" ht="14.2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</row>
    <row r="181" spans="1:18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spans="1:18" ht="15" customHeight="1">
      <c r="A182" s="76">
        <v>251000004</v>
      </c>
      <c r="B182" s="76" t="s">
        <v>373</v>
      </c>
      <c r="C182" s="76" t="s">
        <v>28</v>
      </c>
      <c r="D182" s="76" t="s">
        <v>373</v>
      </c>
      <c r="E182" s="76" t="s">
        <v>395</v>
      </c>
      <c r="F182" s="76" t="s">
        <v>25</v>
      </c>
      <c r="G182" s="76" t="s">
        <v>59</v>
      </c>
      <c r="H182" s="92">
        <v>45931</v>
      </c>
      <c r="I182" s="92">
        <v>45933</v>
      </c>
      <c r="J182" s="113" t="s">
        <v>156</v>
      </c>
      <c r="K182" s="117">
        <v>2880001</v>
      </c>
      <c r="L182" s="117">
        <v>1125000</v>
      </c>
      <c r="M182" s="117">
        <v>750000</v>
      </c>
      <c r="N182" s="117">
        <v>280000</v>
      </c>
      <c r="O182" s="117">
        <v>0</v>
      </c>
      <c r="P182" s="117">
        <v>0</v>
      </c>
      <c r="Q182" s="117">
        <v>0</v>
      </c>
      <c r="R182" s="125">
        <f>SUM(K182-L182-L183-L184-M182-M183-M184-N182)</f>
        <v>725001</v>
      </c>
    </row>
    <row r="183" spans="1:18" ht="1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</row>
    <row r="184" spans="1:18" ht="1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1:18" ht="14.25" customHeight="1">
      <c r="A185" s="34">
        <v>251000077</v>
      </c>
      <c r="B185" s="10" t="s">
        <v>373</v>
      </c>
      <c r="C185" s="10" t="s">
        <v>28</v>
      </c>
      <c r="D185" s="10" t="s">
        <v>373</v>
      </c>
      <c r="E185" s="10" t="s">
        <v>395</v>
      </c>
      <c r="F185" s="10" t="s">
        <v>25</v>
      </c>
      <c r="G185" s="10" t="s">
        <v>39</v>
      </c>
      <c r="H185" s="11">
        <v>45931</v>
      </c>
      <c r="I185" s="11">
        <v>45931</v>
      </c>
      <c r="J185" s="12" t="s">
        <v>157</v>
      </c>
      <c r="K185" s="13">
        <v>816001</v>
      </c>
      <c r="L185" s="13">
        <v>400000</v>
      </c>
      <c r="M185" s="18">
        <v>200000</v>
      </c>
      <c r="N185" s="13">
        <v>130000</v>
      </c>
      <c r="O185" s="13">
        <v>0</v>
      </c>
      <c r="P185" s="13">
        <v>0</v>
      </c>
      <c r="Q185" s="13">
        <v>0</v>
      </c>
      <c r="R185" s="14">
        <f>SUM(K185-L185-M185-N185)</f>
        <v>86001</v>
      </c>
    </row>
    <row r="186" spans="1:18" ht="14.25" customHeight="1">
      <c r="A186" s="76">
        <v>251000005</v>
      </c>
      <c r="B186" s="76" t="s">
        <v>370</v>
      </c>
      <c r="C186" s="76" t="s">
        <v>15</v>
      </c>
      <c r="D186" s="76" t="s">
        <v>382</v>
      </c>
      <c r="E186" s="76" t="s">
        <v>404</v>
      </c>
      <c r="F186" s="76" t="s">
        <v>106</v>
      </c>
      <c r="G186" s="76" t="s">
        <v>120</v>
      </c>
      <c r="H186" s="92">
        <v>45958</v>
      </c>
      <c r="I186" s="92">
        <v>45963</v>
      </c>
      <c r="J186" s="113" t="s">
        <v>100</v>
      </c>
      <c r="K186" s="117">
        <v>0</v>
      </c>
      <c r="L186" s="117">
        <v>1500000</v>
      </c>
      <c r="M186" s="117">
        <v>0</v>
      </c>
      <c r="N186" s="117">
        <v>0</v>
      </c>
      <c r="O186" s="117">
        <v>0</v>
      </c>
      <c r="P186" s="117">
        <v>0</v>
      </c>
      <c r="Q186" s="117">
        <v>0</v>
      </c>
      <c r="R186" s="125">
        <v>0</v>
      </c>
    </row>
    <row r="187" spans="1:18" ht="14.2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</row>
    <row r="188" spans="1:18" ht="14.2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</row>
    <row r="189" spans="1:18" ht="14.2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</row>
    <row r="190" spans="1:18" ht="14.2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1:18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spans="1:18" ht="14.25" customHeight="1">
      <c r="A192" s="10">
        <v>251000006</v>
      </c>
      <c r="B192" s="10" t="s">
        <v>131</v>
      </c>
      <c r="C192" s="10" t="s">
        <v>132</v>
      </c>
      <c r="D192" s="10" t="s">
        <v>158</v>
      </c>
      <c r="E192" s="74" t="s">
        <v>404</v>
      </c>
      <c r="F192" s="10" t="s">
        <v>106</v>
      </c>
      <c r="G192" s="10" t="s">
        <v>17</v>
      </c>
      <c r="H192" s="11">
        <v>45931</v>
      </c>
      <c r="I192" s="11">
        <v>45931</v>
      </c>
      <c r="J192" s="12" t="s">
        <v>159</v>
      </c>
      <c r="K192" s="13">
        <v>2035000</v>
      </c>
      <c r="L192" s="13">
        <v>350000</v>
      </c>
      <c r="M192" s="18">
        <v>350000</v>
      </c>
      <c r="N192" s="13">
        <v>677000</v>
      </c>
      <c r="O192" s="13">
        <v>488500</v>
      </c>
      <c r="P192" s="13">
        <v>0</v>
      </c>
      <c r="Q192" s="13">
        <v>0</v>
      </c>
      <c r="R192" s="14">
        <f>SUM(K192-L192-M192-N192)</f>
        <v>658000</v>
      </c>
    </row>
    <row r="193" spans="1:18" ht="14.25" customHeight="1">
      <c r="A193" s="10">
        <v>251000007</v>
      </c>
      <c r="B193" s="10" t="s">
        <v>373</v>
      </c>
      <c r="C193" s="10" t="s">
        <v>28</v>
      </c>
      <c r="D193" s="10" t="s">
        <v>160</v>
      </c>
      <c r="E193" s="10" t="s">
        <v>395</v>
      </c>
      <c r="F193" s="10" t="s">
        <v>25</v>
      </c>
      <c r="G193" s="10" t="s">
        <v>42</v>
      </c>
      <c r="H193" s="11">
        <v>45932</v>
      </c>
      <c r="I193" s="11">
        <v>45932</v>
      </c>
      <c r="J193" s="12" t="s">
        <v>143</v>
      </c>
      <c r="K193" s="13">
        <v>912001</v>
      </c>
      <c r="L193" s="13">
        <v>400000</v>
      </c>
      <c r="M193" s="18">
        <v>225000</v>
      </c>
      <c r="N193" s="13">
        <v>235000</v>
      </c>
      <c r="O193" s="13">
        <v>9500</v>
      </c>
      <c r="P193" s="13">
        <v>0</v>
      </c>
      <c r="Q193" s="13">
        <v>0</v>
      </c>
      <c r="R193" s="14">
        <f>SUM(K193-L193-M193-N193-O193)</f>
        <v>42501</v>
      </c>
    </row>
    <row r="194" spans="1:18" ht="14.25" customHeight="1">
      <c r="A194" s="76">
        <v>251000008</v>
      </c>
      <c r="B194" s="76" t="s">
        <v>377</v>
      </c>
      <c r="C194" s="76" t="s">
        <v>161</v>
      </c>
      <c r="D194" s="76" t="s">
        <v>377</v>
      </c>
      <c r="E194" s="76" t="s">
        <v>404</v>
      </c>
      <c r="F194" s="76" t="s">
        <v>106</v>
      </c>
      <c r="G194" s="76" t="s">
        <v>162</v>
      </c>
      <c r="H194" s="92">
        <v>45932</v>
      </c>
      <c r="I194" s="92">
        <v>45933</v>
      </c>
      <c r="J194" s="113" t="s">
        <v>137</v>
      </c>
      <c r="K194" s="117">
        <v>1150000</v>
      </c>
      <c r="L194" s="117">
        <v>500000</v>
      </c>
      <c r="M194" s="126">
        <v>325000</v>
      </c>
      <c r="N194" s="117">
        <v>250000</v>
      </c>
      <c r="O194" s="117">
        <v>0</v>
      </c>
      <c r="P194" s="117">
        <v>0</v>
      </c>
      <c r="Q194" s="117">
        <v>0</v>
      </c>
      <c r="R194" s="125">
        <f>SUM(K194-L194-L195-M194-M195-N194)</f>
        <v>75000</v>
      </c>
    </row>
    <row r="195" spans="1:18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spans="1:18" ht="14.25" customHeight="1">
      <c r="A196" s="76">
        <v>251000009</v>
      </c>
      <c r="B196" s="76" t="s">
        <v>89</v>
      </c>
      <c r="C196" s="76" t="s">
        <v>90</v>
      </c>
      <c r="D196" s="76" t="s">
        <v>89</v>
      </c>
      <c r="E196" s="76" t="s">
        <v>398</v>
      </c>
      <c r="F196" s="76" t="s">
        <v>58</v>
      </c>
      <c r="G196" s="76" t="s">
        <v>39</v>
      </c>
      <c r="H196" s="92">
        <v>45932</v>
      </c>
      <c r="I196" s="92">
        <v>45935</v>
      </c>
      <c r="J196" s="113" t="s">
        <v>163</v>
      </c>
      <c r="K196" s="117">
        <v>5000000</v>
      </c>
      <c r="L196" s="117">
        <v>2800000</v>
      </c>
      <c r="M196" s="117">
        <v>975000</v>
      </c>
      <c r="N196" s="117">
        <v>750000</v>
      </c>
      <c r="O196" s="117">
        <v>0</v>
      </c>
      <c r="P196" s="117">
        <v>170000</v>
      </c>
      <c r="Q196" s="117" t="s">
        <v>164</v>
      </c>
      <c r="R196" s="125">
        <f>SUM(K196-L196-L197-L198-M196-M197-M198-N196-N197-P196)</f>
        <v>305000</v>
      </c>
    </row>
    <row r="197" spans="1:18" ht="14.2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</row>
    <row r="198" spans="1:18" ht="14.2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1:18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spans="1:18" ht="15" customHeight="1">
      <c r="A200" s="76">
        <v>251000010</v>
      </c>
      <c r="B200" s="76" t="s">
        <v>374</v>
      </c>
      <c r="C200" s="76" t="s">
        <v>104</v>
      </c>
      <c r="D200" s="76" t="s">
        <v>374</v>
      </c>
      <c r="E200" s="76" t="s">
        <v>395</v>
      </c>
      <c r="F200" s="76" t="s">
        <v>25</v>
      </c>
      <c r="G200" s="113" t="s">
        <v>22</v>
      </c>
      <c r="H200" s="92">
        <v>45933</v>
      </c>
      <c r="I200" s="92">
        <v>45934</v>
      </c>
      <c r="J200" s="113" t="s">
        <v>165</v>
      </c>
      <c r="K200" s="117">
        <v>7680004</v>
      </c>
      <c r="L200" s="117">
        <v>3100000</v>
      </c>
      <c r="M200" s="117">
        <v>2000000</v>
      </c>
      <c r="N200" s="117">
        <v>1052000</v>
      </c>
      <c r="O200" s="117">
        <v>18000</v>
      </c>
      <c r="P200" s="126">
        <v>0</v>
      </c>
      <c r="Q200" s="126">
        <v>0</v>
      </c>
      <c r="R200" s="125">
        <f>SUM(K200-L200-L201-M200-M201-N200-O200)</f>
        <v>1510004</v>
      </c>
    </row>
    <row r="201" spans="1:18" ht="1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</row>
    <row r="202" spans="1:18" ht="1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1:18" ht="1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</row>
    <row r="204" spans="1:18" ht="1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</row>
    <row r="205" spans="1:18" ht="1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</row>
    <row r="206" spans="1:18" ht="1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1:18" ht="1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spans="1:18" ht="15" customHeight="1">
      <c r="A208" s="76">
        <v>251000011</v>
      </c>
      <c r="B208" s="76" t="s">
        <v>65</v>
      </c>
      <c r="C208" s="76" t="s">
        <v>66</v>
      </c>
      <c r="D208" s="76" t="s">
        <v>207</v>
      </c>
      <c r="E208" s="76" t="s">
        <v>404</v>
      </c>
      <c r="F208" s="76" t="s">
        <v>106</v>
      </c>
      <c r="G208" s="76" t="s">
        <v>166</v>
      </c>
      <c r="H208" s="92">
        <v>45933</v>
      </c>
      <c r="I208" s="92">
        <v>45934</v>
      </c>
      <c r="J208" s="113" t="s">
        <v>48</v>
      </c>
      <c r="K208" s="117">
        <v>1720000</v>
      </c>
      <c r="L208" s="117">
        <v>500000</v>
      </c>
      <c r="M208" s="117">
        <v>450000</v>
      </c>
      <c r="N208" s="117">
        <v>280000</v>
      </c>
      <c r="O208" s="117">
        <v>220000</v>
      </c>
      <c r="P208" s="117">
        <v>0</v>
      </c>
      <c r="Q208" s="117">
        <v>0</v>
      </c>
      <c r="R208" s="125">
        <f>SUM(K208-L208-L209-M208-M209-N208)</f>
        <v>490000</v>
      </c>
    </row>
    <row r="209" spans="1:18" ht="1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spans="1:18" ht="14.25" customHeight="1">
      <c r="A210" s="10">
        <v>251000012</v>
      </c>
      <c r="B210" s="10" t="s">
        <v>168</v>
      </c>
      <c r="C210" s="10" t="s">
        <v>167</v>
      </c>
      <c r="D210" s="10" t="s">
        <v>168</v>
      </c>
      <c r="E210" s="74" t="s">
        <v>396</v>
      </c>
      <c r="F210" s="10" t="s">
        <v>38</v>
      </c>
      <c r="G210" s="10" t="s">
        <v>59</v>
      </c>
      <c r="H210" s="11">
        <v>45934</v>
      </c>
      <c r="I210" s="11">
        <v>45934</v>
      </c>
      <c r="J210" s="12" t="s">
        <v>137</v>
      </c>
      <c r="K210" s="13">
        <v>1500000</v>
      </c>
      <c r="L210" s="18">
        <v>750000</v>
      </c>
      <c r="M210" s="18">
        <v>250000</v>
      </c>
      <c r="N210" s="13">
        <v>300000</v>
      </c>
      <c r="O210" s="13">
        <v>0</v>
      </c>
      <c r="P210" s="13">
        <v>0</v>
      </c>
      <c r="Q210" s="13">
        <v>0</v>
      </c>
      <c r="R210" s="14">
        <f>SUM(K210-L210-M210-N210)</f>
        <v>200000</v>
      </c>
    </row>
    <row r="211" spans="1:18" ht="14.25" customHeight="1">
      <c r="A211" s="76">
        <v>251000013</v>
      </c>
      <c r="B211" s="76" t="s">
        <v>19</v>
      </c>
      <c r="C211" s="76" t="s">
        <v>20</v>
      </c>
      <c r="D211" s="76" t="s">
        <v>53</v>
      </c>
      <c r="E211" s="76" t="s">
        <v>395</v>
      </c>
      <c r="F211" s="76" t="s">
        <v>25</v>
      </c>
      <c r="G211" s="76" t="s">
        <v>36</v>
      </c>
      <c r="H211" s="115">
        <v>45935</v>
      </c>
      <c r="I211" s="115">
        <v>45937</v>
      </c>
      <c r="J211" s="113" t="s">
        <v>169</v>
      </c>
      <c r="K211" s="117">
        <v>3631890</v>
      </c>
      <c r="L211" s="117">
        <v>1000000</v>
      </c>
      <c r="M211" s="126">
        <v>775000</v>
      </c>
      <c r="N211" s="117">
        <v>460000</v>
      </c>
      <c r="O211" s="117">
        <v>124500</v>
      </c>
      <c r="P211" s="117">
        <v>0</v>
      </c>
      <c r="Q211" s="117">
        <v>0</v>
      </c>
      <c r="R211" s="125">
        <f>SUM(K211-L211-L212-L213-M211-M212-M213-N211-O211)</f>
        <v>1272390</v>
      </c>
    </row>
    <row r="212" spans="1:18" ht="14.2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</row>
    <row r="213" spans="1:18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18" ht="14.25" customHeight="1">
      <c r="A214" s="10">
        <v>251000014</v>
      </c>
      <c r="B214" s="10" t="s">
        <v>170</v>
      </c>
      <c r="C214" s="10" t="s">
        <v>171</v>
      </c>
      <c r="D214" s="10" t="s">
        <v>170</v>
      </c>
      <c r="E214" s="74" t="s">
        <v>396</v>
      </c>
      <c r="F214" s="10" t="s">
        <v>38</v>
      </c>
      <c r="G214" s="10" t="s">
        <v>109</v>
      </c>
      <c r="H214" s="35">
        <v>45935</v>
      </c>
      <c r="I214" s="35">
        <v>45935</v>
      </c>
      <c r="J214" s="12" t="s">
        <v>154</v>
      </c>
      <c r="K214" s="13">
        <v>1600000</v>
      </c>
      <c r="L214" s="13">
        <v>700000</v>
      </c>
      <c r="M214" s="18">
        <v>250000</v>
      </c>
      <c r="N214" s="13">
        <v>330000</v>
      </c>
      <c r="O214" s="13">
        <v>0</v>
      </c>
      <c r="P214" s="13">
        <v>0</v>
      </c>
      <c r="Q214" s="13">
        <v>0</v>
      </c>
      <c r="R214" s="14">
        <f t="shared" ref="R214:R215" si="3">SUM(K214-L214-M214-N214)</f>
        <v>320000</v>
      </c>
    </row>
    <row r="215" spans="1:18" ht="14.25" customHeight="1">
      <c r="A215" s="10">
        <v>251000015</v>
      </c>
      <c r="B215" s="10" t="s">
        <v>370</v>
      </c>
      <c r="C215" s="10" t="s">
        <v>15</v>
      </c>
      <c r="D215" s="10" t="s">
        <v>381</v>
      </c>
      <c r="E215" s="74" t="s">
        <v>398</v>
      </c>
      <c r="F215" s="10" t="s">
        <v>58</v>
      </c>
      <c r="G215" s="10" t="s">
        <v>109</v>
      </c>
      <c r="H215" s="35">
        <v>45936</v>
      </c>
      <c r="I215" s="35">
        <v>45936</v>
      </c>
      <c r="J215" s="12" t="s">
        <v>172</v>
      </c>
      <c r="K215" s="13">
        <v>1250000</v>
      </c>
      <c r="L215" s="13">
        <v>700000</v>
      </c>
      <c r="M215" s="18">
        <v>250000</v>
      </c>
      <c r="N215" s="13">
        <v>250000</v>
      </c>
      <c r="O215" s="13">
        <v>0</v>
      </c>
      <c r="P215" s="13">
        <v>0</v>
      </c>
      <c r="Q215" s="13">
        <v>0</v>
      </c>
      <c r="R215" s="14">
        <f t="shared" si="3"/>
        <v>50000</v>
      </c>
    </row>
    <row r="216" spans="1:18" ht="14.25" customHeight="1">
      <c r="A216" s="76">
        <v>251000016</v>
      </c>
      <c r="B216" s="76" t="s">
        <v>173</v>
      </c>
      <c r="C216" s="76" t="s">
        <v>174</v>
      </c>
      <c r="D216" s="76" t="s">
        <v>173</v>
      </c>
      <c r="E216" s="76" t="s">
        <v>396</v>
      </c>
      <c r="F216" s="76" t="s">
        <v>38</v>
      </c>
      <c r="G216" s="76" t="s">
        <v>59</v>
      </c>
      <c r="H216" s="115">
        <v>45935</v>
      </c>
      <c r="I216" s="115">
        <v>45936</v>
      </c>
      <c r="J216" s="113" t="s">
        <v>175</v>
      </c>
      <c r="K216" s="117">
        <v>7600000</v>
      </c>
      <c r="L216" s="126">
        <v>3000000</v>
      </c>
      <c r="M216" s="126">
        <v>1400000</v>
      </c>
      <c r="N216" s="117">
        <v>1347000</v>
      </c>
      <c r="O216" s="117">
        <v>0</v>
      </c>
      <c r="P216" s="117">
        <v>0</v>
      </c>
      <c r="Q216" s="117">
        <v>0</v>
      </c>
      <c r="R216" s="125">
        <f>SUM(K216-L216-L217-M216-M217-N216)</f>
        <v>1853000</v>
      </c>
    </row>
    <row r="217" spans="1:18" ht="14.2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</row>
    <row r="218" spans="1:18" ht="14.2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1:18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spans="1:18" ht="14.25" customHeight="1">
      <c r="A220" s="10">
        <v>251000017</v>
      </c>
      <c r="B220" s="10" t="s">
        <v>370</v>
      </c>
      <c r="C220" s="10" t="s">
        <v>15</v>
      </c>
      <c r="D220" s="10" t="s">
        <v>381</v>
      </c>
      <c r="E220" s="74" t="s">
        <v>398</v>
      </c>
      <c r="F220" s="10" t="s">
        <v>58</v>
      </c>
      <c r="G220" s="10" t="s">
        <v>89</v>
      </c>
      <c r="H220" s="35">
        <v>45936</v>
      </c>
      <c r="I220" s="35">
        <v>45936</v>
      </c>
      <c r="J220" s="12" t="s">
        <v>172</v>
      </c>
      <c r="K220" s="13">
        <v>1250000</v>
      </c>
      <c r="L220" s="13">
        <v>700000</v>
      </c>
      <c r="M220" s="18">
        <v>250000</v>
      </c>
      <c r="N220" s="13">
        <v>220000</v>
      </c>
      <c r="O220" s="13">
        <v>0</v>
      </c>
      <c r="P220" s="13">
        <v>0</v>
      </c>
      <c r="Q220" s="13">
        <v>0</v>
      </c>
      <c r="R220" s="14">
        <f>SUM(K220-L220-M220-N220)</f>
        <v>80000</v>
      </c>
    </row>
    <row r="221" spans="1:18" ht="14.25" customHeight="1">
      <c r="A221" s="10">
        <v>251000018</v>
      </c>
      <c r="B221" s="10" t="s">
        <v>176</v>
      </c>
      <c r="C221" s="10" t="s">
        <v>177</v>
      </c>
      <c r="D221" s="10" t="s">
        <v>176</v>
      </c>
      <c r="E221" s="74" t="s">
        <v>405</v>
      </c>
      <c r="F221" s="10" t="s">
        <v>178</v>
      </c>
      <c r="G221" s="10" t="s">
        <v>120</v>
      </c>
      <c r="H221" s="11">
        <v>45936</v>
      </c>
      <c r="I221" s="35">
        <v>45936</v>
      </c>
      <c r="J221" s="12" t="s">
        <v>48</v>
      </c>
      <c r="K221" s="13">
        <v>2036000</v>
      </c>
      <c r="L221" s="13">
        <v>1500000</v>
      </c>
      <c r="M221" s="22">
        <v>0</v>
      </c>
      <c r="N221" s="13">
        <v>0</v>
      </c>
      <c r="O221" s="13">
        <v>0</v>
      </c>
      <c r="P221" s="13">
        <v>0</v>
      </c>
      <c r="Q221" s="13">
        <v>0</v>
      </c>
      <c r="R221" s="14">
        <f>SUM(K221-L221)</f>
        <v>536000</v>
      </c>
    </row>
    <row r="222" spans="1:18" ht="14.25" customHeight="1">
      <c r="A222" s="76">
        <v>251000019</v>
      </c>
      <c r="B222" s="76" t="s">
        <v>131</v>
      </c>
      <c r="C222" s="76" t="s">
        <v>132</v>
      </c>
      <c r="D222" s="76" t="s">
        <v>158</v>
      </c>
      <c r="E222" s="89" t="s">
        <v>403</v>
      </c>
      <c r="F222" s="76" t="s">
        <v>93</v>
      </c>
      <c r="G222" s="76" t="s">
        <v>30</v>
      </c>
      <c r="H222" s="92">
        <v>45937</v>
      </c>
      <c r="I222" s="92">
        <v>45938</v>
      </c>
      <c r="J222" s="113" t="s">
        <v>27</v>
      </c>
      <c r="K222" s="106">
        <v>3776000</v>
      </c>
      <c r="L222" s="106">
        <v>1750000</v>
      </c>
      <c r="M222" s="108">
        <v>430000</v>
      </c>
      <c r="N222" s="108">
        <v>355000</v>
      </c>
      <c r="O222" s="108">
        <v>349000</v>
      </c>
      <c r="P222" s="108">
        <v>148000</v>
      </c>
      <c r="Q222" s="106" t="s">
        <v>179</v>
      </c>
      <c r="R222" s="112">
        <f>SUM(K222-L222-L223-M222-M223-N222-N223-O222-P222)</f>
        <v>744000</v>
      </c>
    </row>
    <row r="223" spans="1:18" ht="14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spans="1:18" ht="14.25" customHeight="1">
      <c r="A224" s="76">
        <v>251000020</v>
      </c>
      <c r="B224" s="76" t="s">
        <v>19</v>
      </c>
      <c r="C224" s="76" t="s">
        <v>20</v>
      </c>
      <c r="D224" s="76" t="s">
        <v>55</v>
      </c>
      <c r="E224" s="76" t="s">
        <v>395</v>
      </c>
      <c r="F224" s="76" t="s">
        <v>25</v>
      </c>
      <c r="G224" s="76" t="s">
        <v>56</v>
      </c>
      <c r="H224" s="92">
        <v>45938</v>
      </c>
      <c r="I224" s="92">
        <v>45939</v>
      </c>
      <c r="J224" s="113" t="s">
        <v>180</v>
      </c>
      <c r="K224" s="106">
        <v>1309955</v>
      </c>
      <c r="L224" s="108">
        <v>750000</v>
      </c>
      <c r="M224" s="108">
        <v>300000</v>
      </c>
      <c r="N224" s="106">
        <v>0</v>
      </c>
      <c r="O224" s="106">
        <v>0</v>
      </c>
      <c r="P224" s="106">
        <v>0</v>
      </c>
      <c r="Q224" s="106">
        <v>0</v>
      </c>
      <c r="R224" s="112">
        <f>SUM(K224-L224-L225-M224-M225)</f>
        <v>259955</v>
      </c>
    </row>
    <row r="225" spans="1:18" ht="14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spans="1:18" ht="14.25" customHeight="1">
      <c r="A226" s="81">
        <v>251001021</v>
      </c>
      <c r="B226" s="76" t="s">
        <v>181</v>
      </c>
      <c r="C226" s="76" t="s">
        <v>182</v>
      </c>
      <c r="D226" s="76" t="s">
        <v>181</v>
      </c>
      <c r="E226" s="76" t="s">
        <v>395</v>
      </c>
      <c r="F226" s="76" t="s">
        <v>25</v>
      </c>
      <c r="G226" s="76" t="s">
        <v>22</v>
      </c>
      <c r="H226" s="92">
        <v>45938</v>
      </c>
      <c r="I226" s="92">
        <v>45939</v>
      </c>
      <c r="J226" s="113" t="s">
        <v>27</v>
      </c>
      <c r="K226" s="106">
        <v>2325000</v>
      </c>
      <c r="L226" s="108">
        <v>750000</v>
      </c>
      <c r="M226" s="108">
        <v>360000</v>
      </c>
      <c r="N226" s="106">
        <v>150000</v>
      </c>
      <c r="O226" s="106">
        <v>56000</v>
      </c>
      <c r="P226" s="106">
        <v>0</v>
      </c>
      <c r="Q226" s="106">
        <v>0</v>
      </c>
      <c r="R226" s="112">
        <f>SUM(K226-L226-L227-M226-M227-N226-N227-O226-P226)</f>
        <v>1009000</v>
      </c>
    </row>
    <row r="227" spans="1:18" ht="14.25" customHeight="1">
      <c r="A227" s="82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spans="1:18" ht="14.25" customHeight="1">
      <c r="A228" s="81">
        <v>251002021</v>
      </c>
      <c r="B228" s="76" t="s">
        <v>181</v>
      </c>
      <c r="C228" s="76" t="s">
        <v>182</v>
      </c>
      <c r="D228" s="76" t="s">
        <v>181</v>
      </c>
      <c r="E228" s="76" t="s">
        <v>395</v>
      </c>
      <c r="F228" s="76" t="s">
        <v>25</v>
      </c>
      <c r="G228" s="76" t="s">
        <v>39</v>
      </c>
      <c r="H228" s="92">
        <v>45938</v>
      </c>
      <c r="I228" s="92">
        <v>45939</v>
      </c>
      <c r="J228" s="113" t="s">
        <v>27</v>
      </c>
      <c r="K228" s="106">
        <v>2325000</v>
      </c>
      <c r="L228" s="108">
        <v>750000</v>
      </c>
      <c r="M228" s="108">
        <v>360000</v>
      </c>
      <c r="N228" s="106">
        <v>165000</v>
      </c>
      <c r="O228" s="106">
        <v>90000</v>
      </c>
      <c r="P228" s="106">
        <v>0</v>
      </c>
      <c r="Q228" s="106">
        <v>0</v>
      </c>
      <c r="R228" s="112">
        <f>SUM(K228-L228-L229-M228-M229-N228-N229-O228-P228)</f>
        <v>960000</v>
      </c>
    </row>
    <row r="229" spans="1:18" ht="14.25" customHeight="1">
      <c r="A229" s="82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</row>
    <row r="230" spans="1:18" ht="14.25" customHeight="1">
      <c r="A230" s="81">
        <v>251003021</v>
      </c>
      <c r="B230" s="76" t="s">
        <v>181</v>
      </c>
      <c r="C230" s="76" t="s">
        <v>182</v>
      </c>
      <c r="D230" s="76" t="s">
        <v>181</v>
      </c>
      <c r="E230" s="76" t="s">
        <v>395</v>
      </c>
      <c r="F230" s="76" t="s">
        <v>25</v>
      </c>
      <c r="G230" s="76" t="s">
        <v>67</v>
      </c>
      <c r="H230" s="92">
        <v>45938</v>
      </c>
      <c r="I230" s="92">
        <v>45939</v>
      </c>
      <c r="J230" s="113" t="s">
        <v>27</v>
      </c>
      <c r="K230" s="106">
        <v>2325000</v>
      </c>
      <c r="L230" s="108">
        <v>800000</v>
      </c>
      <c r="M230" s="108">
        <v>540000</v>
      </c>
      <c r="N230" s="106">
        <v>290000</v>
      </c>
      <c r="O230" s="106">
        <v>231000</v>
      </c>
      <c r="P230" s="106">
        <v>0</v>
      </c>
      <c r="Q230" s="106">
        <v>0</v>
      </c>
      <c r="R230" s="112">
        <f>SUM(K230-L230-L231-M230-M231-N230-N231-O230-P230)</f>
        <v>464000</v>
      </c>
    </row>
    <row r="231" spans="1:18" ht="14.25" customHeight="1">
      <c r="A231" s="82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</row>
    <row r="232" spans="1:18" ht="14.25" customHeight="1">
      <c r="A232" s="81">
        <v>251004021</v>
      </c>
      <c r="B232" s="76" t="s">
        <v>181</v>
      </c>
      <c r="C232" s="76" t="s">
        <v>182</v>
      </c>
      <c r="D232" s="76" t="s">
        <v>181</v>
      </c>
      <c r="E232" s="76" t="s">
        <v>395</v>
      </c>
      <c r="F232" s="76" t="s">
        <v>25</v>
      </c>
      <c r="G232" s="76" t="s">
        <v>42</v>
      </c>
      <c r="H232" s="92">
        <v>45938</v>
      </c>
      <c r="I232" s="92">
        <v>45939</v>
      </c>
      <c r="J232" s="113" t="s">
        <v>27</v>
      </c>
      <c r="K232" s="106">
        <v>2325000</v>
      </c>
      <c r="L232" s="108">
        <v>750000</v>
      </c>
      <c r="M232" s="108">
        <v>540000</v>
      </c>
      <c r="N232" s="106">
        <v>238000</v>
      </c>
      <c r="O232" s="106">
        <v>187000</v>
      </c>
      <c r="P232" s="106">
        <v>0</v>
      </c>
      <c r="Q232" s="106">
        <v>0</v>
      </c>
      <c r="R232" s="112">
        <f>SUM(K232-L232-L233-M232-M233-N232-N233-O232-P232)</f>
        <v>610000</v>
      </c>
    </row>
    <row r="233" spans="1:18" ht="14.25" customHeight="1">
      <c r="A233" s="82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</row>
    <row r="234" spans="1:18" ht="14.25" customHeight="1">
      <c r="A234" s="81">
        <v>251005021</v>
      </c>
      <c r="B234" s="76" t="s">
        <v>181</v>
      </c>
      <c r="C234" s="76" t="s">
        <v>182</v>
      </c>
      <c r="D234" s="76" t="s">
        <v>181</v>
      </c>
      <c r="E234" s="76" t="s">
        <v>395</v>
      </c>
      <c r="F234" s="76" t="s">
        <v>25</v>
      </c>
      <c r="G234" s="76" t="s">
        <v>36</v>
      </c>
      <c r="H234" s="92">
        <v>45938</v>
      </c>
      <c r="I234" s="92">
        <v>45939</v>
      </c>
      <c r="J234" s="113" t="s">
        <v>27</v>
      </c>
      <c r="K234" s="106">
        <v>2325000</v>
      </c>
      <c r="L234" s="108">
        <v>750000</v>
      </c>
      <c r="M234" s="108">
        <v>360000</v>
      </c>
      <c r="N234" s="106">
        <v>150000</v>
      </c>
      <c r="O234" s="106">
        <v>74000</v>
      </c>
      <c r="P234" s="106">
        <v>0</v>
      </c>
      <c r="Q234" s="106">
        <v>0</v>
      </c>
      <c r="R234" s="112">
        <f>SUM(K234-L234-L235-M234-M235-N234-N235-O234-P234)</f>
        <v>991000</v>
      </c>
    </row>
    <row r="235" spans="1:18" ht="14.25" customHeight="1">
      <c r="A235" s="82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</row>
    <row r="236" spans="1:18" ht="14.25" customHeight="1">
      <c r="A236" s="81">
        <v>251006021</v>
      </c>
      <c r="B236" s="76" t="s">
        <v>181</v>
      </c>
      <c r="C236" s="76" t="s">
        <v>182</v>
      </c>
      <c r="D236" s="76" t="s">
        <v>181</v>
      </c>
      <c r="E236" s="76" t="s">
        <v>395</v>
      </c>
      <c r="F236" s="76" t="s">
        <v>25</v>
      </c>
      <c r="G236" s="76" t="s">
        <v>17</v>
      </c>
      <c r="H236" s="92">
        <v>45938</v>
      </c>
      <c r="I236" s="92">
        <v>45939</v>
      </c>
      <c r="J236" s="113" t="s">
        <v>27</v>
      </c>
      <c r="K236" s="106">
        <v>2325000</v>
      </c>
      <c r="L236" s="108">
        <v>750000</v>
      </c>
      <c r="M236" s="108">
        <v>540000</v>
      </c>
      <c r="N236" s="106">
        <v>240000</v>
      </c>
      <c r="O236" s="106">
        <v>57000</v>
      </c>
      <c r="P236" s="106">
        <v>0</v>
      </c>
      <c r="Q236" s="106">
        <v>0</v>
      </c>
      <c r="R236" s="112">
        <f>SUM(K236-L236-L237-M236-M237-N236-N237-O236-P236)</f>
        <v>738000</v>
      </c>
    </row>
    <row r="237" spans="1:18" ht="14.25" customHeight="1">
      <c r="A237" s="82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</row>
    <row r="238" spans="1:18" ht="14.25" customHeight="1">
      <c r="A238" s="81">
        <v>251007021</v>
      </c>
      <c r="B238" s="76" t="s">
        <v>181</v>
      </c>
      <c r="C238" s="76" t="s">
        <v>182</v>
      </c>
      <c r="D238" s="76" t="s">
        <v>181</v>
      </c>
      <c r="E238" s="76" t="s">
        <v>395</v>
      </c>
      <c r="F238" s="76" t="s">
        <v>25</v>
      </c>
      <c r="G238" s="76" t="s">
        <v>183</v>
      </c>
      <c r="H238" s="92">
        <v>45938</v>
      </c>
      <c r="I238" s="92">
        <v>45939</v>
      </c>
      <c r="J238" s="113" t="s">
        <v>27</v>
      </c>
      <c r="K238" s="106">
        <v>2325000</v>
      </c>
      <c r="L238" s="108">
        <v>750000</v>
      </c>
      <c r="M238" s="108">
        <v>540000</v>
      </c>
      <c r="N238" s="106">
        <v>200000</v>
      </c>
      <c r="O238" s="106">
        <v>103000</v>
      </c>
      <c r="P238" s="106">
        <v>0</v>
      </c>
      <c r="Q238" s="106">
        <v>0</v>
      </c>
      <c r="R238" s="112">
        <f>SUM(K238-L238-L239-M238-M239-N238-N239-O238-P238)</f>
        <v>732000</v>
      </c>
    </row>
    <row r="239" spans="1:18" ht="14.25" customHeight="1">
      <c r="A239" s="82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</row>
    <row r="240" spans="1:18" ht="14.25" customHeight="1">
      <c r="A240" s="81">
        <v>251008021</v>
      </c>
      <c r="B240" s="76" t="s">
        <v>181</v>
      </c>
      <c r="C240" s="76" t="s">
        <v>182</v>
      </c>
      <c r="D240" s="76" t="s">
        <v>181</v>
      </c>
      <c r="E240" s="76" t="s">
        <v>395</v>
      </c>
      <c r="F240" s="76" t="s">
        <v>25</v>
      </c>
      <c r="G240" s="76" t="s">
        <v>184</v>
      </c>
      <c r="H240" s="92">
        <v>45938</v>
      </c>
      <c r="I240" s="92">
        <v>45939</v>
      </c>
      <c r="J240" s="113" t="s">
        <v>27</v>
      </c>
      <c r="K240" s="106">
        <v>2325000</v>
      </c>
      <c r="L240" s="108">
        <v>750000</v>
      </c>
      <c r="M240" s="108">
        <v>540000</v>
      </c>
      <c r="N240" s="106">
        <v>270000</v>
      </c>
      <c r="O240" s="106">
        <v>289000</v>
      </c>
      <c r="P240" s="106"/>
      <c r="Q240" s="106"/>
      <c r="R240" s="112">
        <f>SUM(K240-L240-L241-M240-M241-N240-N241-O240-P240)</f>
        <v>476000</v>
      </c>
    </row>
    <row r="241" spans="1:18" ht="14.25" customHeight="1">
      <c r="A241" s="82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</row>
    <row r="242" spans="1:18" ht="14.25" customHeight="1">
      <c r="A242" s="81">
        <v>251009021</v>
      </c>
      <c r="B242" s="76" t="s">
        <v>181</v>
      </c>
      <c r="C242" s="76" t="s">
        <v>182</v>
      </c>
      <c r="D242" s="76" t="s">
        <v>181</v>
      </c>
      <c r="E242" s="76" t="s">
        <v>395</v>
      </c>
      <c r="F242" s="76" t="s">
        <v>25</v>
      </c>
      <c r="G242" s="76" t="s">
        <v>185</v>
      </c>
      <c r="H242" s="92">
        <v>45938</v>
      </c>
      <c r="I242" s="92">
        <v>45939</v>
      </c>
      <c r="J242" s="113" t="s">
        <v>27</v>
      </c>
      <c r="K242" s="106">
        <v>2325000</v>
      </c>
      <c r="L242" s="108">
        <v>750000</v>
      </c>
      <c r="M242" s="108">
        <v>540000</v>
      </c>
      <c r="N242" s="106">
        <v>300000</v>
      </c>
      <c r="O242" s="106">
        <v>265000</v>
      </c>
      <c r="P242" s="106">
        <v>0</v>
      </c>
      <c r="Q242" s="106">
        <v>0</v>
      </c>
      <c r="R242" s="112">
        <f>SUM(K242-L242-L243-M242-M243-N242-N243-O242-P242)</f>
        <v>470000</v>
      </c>
    </row>
    <row r="243" spans="1:18" ht="14.25" customHeight="1">
      <c r="A243" s="82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</row>
    <row r="244" spans="1:18" ht="14.25" customHeight="1">
      <c r="A244" s="81">
        <v>251010021</v>
      </c>
      <c r="B244" s="76" t="s">
        <v>181</v>
      </c>
      <c r="C244" s="76" t="s">
        <v>182</v>
      </c>
      <c r="D244" s="76" t="s">
        <v>181</v>
      </c>
      <c r="E244" s="76" t="s">
        <v>395</v>
      </c>
      <c r="F244" s="76" t="s">
        <v>25</v>
      </c>
      <c r="G244" s="76" t="s">
        <v>186</v>
      </c>
      <c r="H244" s="92">
        <v>45938</v>
      </c>
      <c r="I244" s="92">
        <v>45939</v>
      </c>
      <c r="J244" s="113" t="s">
        <v>27</v>
      </c>
      <c r="K244" s="106">
        <v>2325000</v>
      </c>
      <c r="L244" s="108">
        <v>750000</v>
      </c>
      <c r="M244" s="108">
        <v>540000</v>
      </c>
      <c r="N244" s="106">
        <v>250000</v>
      </c>
      <c r="O244" s="106">
        <v>285000</v>
      </c>
      <c r="P244" s="106">
        <v>0</v>
      </c>
      <c r="Q244" s="106">
        <v>0</v>
      </c>
      <c r="R244" s="112">
        <f>SUM(K244-L244-L245-M244-M245-N244-N245-O244-P244)</f>
        <v>500000</v>
      </c>
    </row>
    <row r="245" spans="1:18" ht="14.25" customHeight="1">
      <c r="A245" s="82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</row>
    <row r="246" spans="1:18" ht="14.25" customHeight="1">
      <c r="A246" s="81">
        <v>251011021</v>
      </c>
      <c r="B246" s="76" t="s">
        <v>181</v>
      </c>
      <c r="C246" s="76" t="s">
        <v>182</v>
      </c>
      <c r="D246" s="76" t="s">
        <v>181</v>
      </c>
      <c r="E246" s="76" t="s">
        <v>395</v>
      </c>
      <c r="F246" s="76" t="s">
        <v>25</v>
      </c>
      <c r="G246" s="76" t="s">
        <v>187</v>
      </c>
      <c r="H246" s="92">
        <v>45938</v>
      </c>
      <c r="I246" s="92">
        <v>45939</v>
      </c>
      <c r="J246" s="113" t="s">
        <v>27</v>
      </c>
      <c r="K246" s="106">
        <v>2450000</v>
      </c>
      <c r="L246" s="108">
        <v>800000</v>
      </c>
      <c r="M246" s="108">
        <v>585000</v>
      </c>
      <c r="N246" s="106">
        <v>230000</v>
      </c>
      <c r="O246" s="106">
        <v>121000</v>
      </c>
      <c r="P246" s="106">
        <v>0</v>
      </c>
      <c r="Q246" s="106">
        <v>0</v>
      </c>
      <c r="R246" s="112">
        <f>SUM(K246-L246-L247-M246-M247-N246-N247-O246-P246)</f>
        <v>714000</v>
      </c>
    </row>
    <row r="247" spans="1:18" ht="14.25" customHeight="1">
      <c r="A247" s="82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</row>
    <row r="248" spans="1:18" ht="14.25" customHeight="1">
      <c r="A248" s="81">
        <v>251012021</v>
      </c>
      <c r="B248" s="76" t="s">
        <v>181</v>
      </c>
      <c r="C248" s="76" t="s">
        <v>182</v>
      </c>
      <c r="D248" s="76" t="s">
        <v>181</v>
      </c>
      <c r="E248" s="76" t="s">
        <v>395</v>
      </c>
      <c r="F248" s="76" t="s">
        <v>25</v>
      </c>
      <c r="G248" s="76" t="s">
        <v>188</v>
      </c>
      <c r="H248" s="92">
        <v>45938</v>
      </c>
      <c r="I248" s="92">
        <v>45939</v>
      </c>
      <c r="J248" s="113" t="s">
        <v>27</v>
      </c>
      <c r="K248" s="106">
        <v>2325000</v>
      </c>
      <c r="L248" s="108">
        <v>800000</v>
      </c>
      <c r="M248" s="108">
        <v>540000</v>
      </c>
      <c r="N248" s="106">
        <v>50000</v>
      </c>
      <c r="O248" s="106">
        <v>0</v>
      </c>
      <c r="P248" s="106">
        <v>0</v>
      </c>
      <c r="Q248" s="106">
        <v>0</v>
      </c>
      <c r="R248" s="112">
        <f>SUM(K248-L248-L249-M248-M249-N248-N249-O248-P248)</f>
        <v>935000</v>
      </c>
    </row>
    <row r="249" spans="1:18" ht="14.25" customHeight="1">
      <c r="A249" s="82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</row>
    <row r="250" spans="1:18" ht="14.25" customHeight="1">
      <c r="A250" s="81">
        <v>251013021</v>
      </c>
      <c r="B250" s="76" t="s">
        <v>181</v>
      </c>
      <c r="C250" s="76" t="s">
        <v>182</v>
      </c>
      <c r="D250" s="76" t="s">
        <v>181</v>
      </c>
      <c r="E250" s="76" t="s">
        <v>395</v>
      </c>
      <c r="F250" s="76" t="s">
        <v>25</v>
      </c>
      <c r="G250" s="76" t="s">
        <v>189</v>
      </c>
      <c r="H250" s="92">
        <v>45938</v>
      </c>
      <c r="I250" s="92">
        <v>45939</v>
      </c>
      <c r="J250" s="113" t="s">
        <v>27</v>
      </c>
      <c r="K250" s="106">
        <v>2325000</v>
      </c>
      <c r="L250" s="108">
        <v>750000</v>
      </c>
      <c r="M250" s="108">
        <v>540000</v>
      </c>
      <c r="N250" s="106">
        <v>150000</v>
      </c>
      <c r="O250" s="106">
        <v>84000</v>
      </c>
      <c r="P250" s="106">
        <v>0</v>
      </c>
      <c r="Q250" s="106">
        <v>0</v>
      </c>
      <c r="R250" s="112">
        <f>SUM(K250-L250-L251-M250-M251-N250-N251-O250-P250)</f>
        <v>801000</v>
      </c>
    </row>
    <row r="251" spans="1:18" ht="14.25" customHeight="1">
      <c r="A251" s="82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</row>
    <row r="252" spans="1:18" ht="14.25" customHeight="1">
      <c r="A252" s="81">
        <v>251014021</v>
      </c>
      <c r="B252" s="76" t="s">
        <v>181</v>
      </c>
      <c r="C252" s="76" t="s">
        <v>182</v>
      </c>
      <c r="D252" s="76" t="s">
        <v>181</v>
      </c>
      <c r="E252" s="76" t="s">
        <v>395</v>
      </c>
      <c r="F252" s="76" t="s">
        <v>25</v>
      </c>
      <c r="G252" s="76" t="s">
        <v>190</v>
      </c>
      <c r="H252" s="92">
        <v>45938</v>
      </c>
      <c r="I252" s="92">
        <v>45939</v>
      </c>
      <c r="J252" s="113" t="s">
        <v>27</v>
      </c>
      <c r="K252" s="106">
        <v>2325000</v>
      </c>
      <c r="L252" s="108">
        <v>750000</v>
      </c>
      <c r="M252" s="108">
        <v>540000</v>
      </c>
      <c r="N252" s="106">
        <v>150000</v>
      </c>
      <c r="O252" s="106">
        <v>24000</v>
      </c>
      <c r="P252" s="106">
        <v>0</v>
      </c>
      <c r="Q252" s="106">
        <v>0</v>
      </c>
      <c r="R252" s="112">
        <f>SUM(K252-L252-L253-M252-M253-N252-N253-O252-P252)</f>
        <v>861000</v>
      </c>
    </row>
    <row r="253" spans="1:18" ht="14.25" customHeight="1">
      <c r="A253" s="82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</row>
    <row r="254" spans="1:18" ht="46.5" customHeight="1">
      <c r="A254" s="76">
        <v>251000022</v>
      </c>
      <c r="B254" s="76" t="s">
        <v>19</v>
      </c>
      <c r="C254" s="76" t="s">
        <v>20</v>
      </c>
      <c r="D254" s="76" t="s">
        <v>243</v>
      </c>
      <c r="E254" s="133" t="s">
        <v>399</v>
      </c>
      <c r="F254" s="113" t="s">
        <v>71</v>
      </c>
      <c r="G254" s="113" t="s">
        <v>61</v>
      </c>
      <c r="H254" s="92">
        <v>45940</v>
      </c>
      <c r="I254" s="92">
        <v>45940</v>
      </c>
      <c r="J254" s="113" t="s">
        <v>191</v>
      </c>
      <c r="K254" s="106">
        <v>8253500</v>
      </c>
      <c r="L254" s="132">
        <v>7000000</v>
      </c>
      <c r="M254" s="132">
        <v>675000</v>
      </c>
      <c r="N254" s="132">
        <v>615000</v>
      </c>
      <c r="O254" s="132">
        <v>398000</v>
      </c>
      <c r="P254" s="132">
        <v>0</v>
      </c>
      <c r="Q254" s="132">
        <v>0</v>
      </c>
      <c r="R254" s="112">
        <f>SUM(K254-L254-L255-L256-L257-L258-M254-M255-M256-M257-M258-N255-N256-N258-O254)</f>
        <v>180500</v>
      </c>
    </row>
    <row r="255" spans="1:18" ht="14.2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</row>
    <row r="256" spans="1:18" ht="14.2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</row>
    <row r="257" spans="1:18" ht="14.2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</row>
    <row r="258" spans="1:18" ht="14.2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87"/>
      <c r="Q258" s="87"/>
      <c r="R258" s="77"/>
    </row>
    <row r="259" spans="1:18" ht="14.25" customHeight="1">
      <c r="A259" s="10">
        <v>251000023</v>
      </c>
      <c r="B259" s="10" t="s">
        <v>373</v>
      </c>
      <c r="C259" s="10" t="s">
        <v>28</v>
      </c>
      <c r="D259" s="10" t="s">
        <v>192</v>
      </c>
      <c r="E259" s="10" t="s">
        <v>395</v>
      </c>
      <c r="F259" s="10" t="s">
        <v>25</v>
      </c>
      <c r="G259" s="10" t="s">
        <v>193</v>
      </c>
      <c r="H259" s="11">
        <v>45938</v>
      </c>
      <c r="I259" s="11">
        <v>45938</v>
      </c>
      <c r="J259" s="12" t="s">
        <v>137</v>
      </c>
      <c r="K259" s="23">
        <v>864000</v>
      </c>
      <c r="L259" s="23">
        <v>400000</v>
      </c>
      <c r="M259" s="23">
        <v>225000</v>
      </c>
      <c r="N259" s="23">
        <v>150000</v>
      </c>
      <c r="O259" s="23">
        <v>0</v>
      </c>
      <c r="P259" s="23">
        <v>0</v>
      </c>
      <c r="Q259" s="23">
        <v>0</v>
      </c>
      <c r="R259" s="30">
        <f>SUM(K259-L259-M259-N259)</f>
        <v>89000</v>
      </c>
    </row>
    <row r="260" spans="1:18" ht="14.25" customHeight="1">
      <c r="A260" s="76">
        <v>251000024</v>
      </c>
      <c r="B260" s="76" t="s">
        <v>373</v>
      </c>
      <c r="C260" s="76" t="s">
        <v>28</v>
      </c>
      <c r="D260" s="76" t="s">
        <v>373</v>
      </c>
      <c r="E260" s="76" t="s">
        <v>395</v>
      </c>
      <c r="F260" s="76" t="s">
        <v>25</v>
      </c>
      <c r="G260" s="76" t="s">
        <v>59</v>
      </c>
      <c r="H260" s="92">
        <v>45937</v>
      </c>
      <c r="I260" s="92">
        <v>45938</v>
      </c>
      <c r="J260" s="113" t="s">
        <v>194</v>
      </c>
      <c r="K260" s="106">
        <v>1920001</v>
      </c>
      <c r="L260" s="108">
        <v>750000</v>
      </c>
      <c r="M260" s="108">
        <v>500000</v>
      </c>
      <c r="N260" s="106">
        <v>250000</v>
      </c>
      <c r="O260" s="106">
        <v>0</v>
      </c>
      <c r="P260" s="106">
        <v>0</v>
      </c>
      <c r="Q260" s="106">
        <v>0</v>
      </c>
      <c r="R260" s="112">
        <f>SUM(K260-L260-L261-M260-M261-N260)</f>
        <v>420001</v>
      </c>
    </row>
    <row r="261" spans="1:18" ht="14.2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</row>
    <row r="262" spans="1:18" ht="14.25" customHeight="1">
      <c r="A262" s="76">
        <v>251000025</v>
      </c>
      <c r="B262" s="76" t="s">
        <v>373</v>
      </c>
      <c r="C262" s="76" t="s">
        <v>28</v>
      </c>
      <c r="D262" s="76" t="s">
        <v>195</v>
      </c>
      <c r="E262" s="76" t="s">
        <v>395</v>
      </c>
      <c r="F262" s="76" t="s">
        <v>25</v>
      </c>
      <c r="G262" s="76" t="s">
        <v>56</v>
      </c>
      <c r="H262" s="92">
        <v>45939</v>
      </c>
      <c r="I262" s="92">
        <v>45941</v>
      </c>
      <c r="J262" s="113" t="s">
        <v>196</v>
      </c>
      <c r="K262" s="106">
        <v>2700000</v>
      </c>
      <c r="L262" s="108">
        <v>1125000</v>
      </c>
      <c r="M262" s="108">
        <v>675000</v>
      </c>
      <c r="N262" s="106">
        <v>310000</v>
      </c>
      <c r="O262" s="106">
        <v>0</v>
      </c>
      <c r="P262" s="106">
        <v>170000</v>
      </c>
      <c r="Q262" s="106" t="s">
        <v>197</v>
      </c>
      <c r="R262" s="112">
        <f>SUM(K262-L262-L263-L264-M262-M263-M264-N262-P262)</f>
        <v>420000</v>
      </c>
    </row>
    <row r="263" spans="1:18" ht="14.2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</row>
    <row r="264" spans="1:18" ht="14.2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</row>
    <row r="265" spans="1:18" ht="14.25" customHeight="1">
      <c r="A265" s="76">
        <v>251000026</v>
      </c>
      <c r="B265" s="76" t="s">
        <v>373</v>
      </c>
      <c r="C265" s="76" t="s">
        <v>28</v>
      </c>
      <c r="D265" s="76" t="s">
        <v>195</v>
      </c>
      <c r="E265" s="76" t="s">
        <v>395</v>
      </c>
      <c r="F265" s="76" t="s">
        <v>25</v>
      </c>
      <c r="G265" s="76" t="s">
        <v>30</v>
      </c>
      <c r="H265" s="92">
        <v>45939</v>
      </c>
      <c r="I265" s="92">
        <v>45941</v>
      </c>
      <c r="J265" s="113" t="s">
        <v>196</v>
      </c>
      <c r="K265" s="106">
        <v>2700000</v>
      </c>
      <c r="L265" s="108">
        <v>1125000</v>
      </c>
      <c r="M265" s="108">
        <v>675000</v>
      </c>
      <c r="N265" s="106">
        <v>150000</v>
      </c>
      <c r="O265" s="106">
        <v>0</v>
      </c>
      <c r="P265" s="106">
        <v>0</v>
      </c>
      <c r="Q265" s="106">
        <v>0</v>
      </c>
      <c r="R265" s="112">
        <f>SUM(K265-L265-L266-L267-M265-M266-M267-N265)</f>
        <v>750000</v>
      </c>
    </row>
    <row r="266" spans="1:18" ht="14.2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</row>
    <row r="267" spans="1:18" ht="14.2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</row>
    <row r="268" spans="1:18" ht="14.25" customHeight="1">
      <c r="A268" s="76">
        <v>251000027</v>
      </c>
      <c r="B268" s="76" t="s">
        <v>374</v>
      </c>
      <c r="C268" s="76" t="s">
        <v>104</v>
      </c>
      <c r="D268" s="76" t="s">
        <v>374</v>
      </c>
      <c r="E268" s="76" t="s">
        <v>395</v>
      </c>
      <c r="F268" s="76" t="s">
        <v>25</v>
      </c>
      <c r="G268" s="76" t="s">
        <v>166</v>
      </c>
      <c r="H268" s="92">
        <v>45939</v>
      </c>
      <c r="I268" s="92">
        <v>45939</v>
      </c>
      <c r="J268" s="113" t="s">
        <v>134</v>
      </c>
      <c r="K268" s="106">
        <v>1440001</v>
      </c>
      <c r="L268" s="108">
        <v>500000</v>
      </c>
      <c r="M268" s="108">
        <v>450000</v>
      </c>
      <c r="N268" s="106">
        <v>200000</v>
      </c>
      <c r="O268" s="106">
        <v>0</v>
      </c>
      <c r="P268" s="106">
        <v>0</v>
      </c>
      <c r="Q268" s="106">
        <v>0</v>
      </c>
      <c r="R268" s="112">
        <f>SUM(K268-L268-L269-M268-M269-N268)</f>
        <v>290001</v>
      </c>
    </row>
    <row r="269" spans="1:18" ht="14.2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</row>
    <row r="270" spans="1:18" ht="14.25" customHeight="1">
      <c r="A270" s="10">
        <v>251000028</v>
      </c>
      <c r="B270" s="10" t="s">
        <v>198</v>
      </c>
      <c r="C270" s="10" t="s">
        <v>199</v>
      </c>
      <c r="D270" s="10" t="s">
        <v>198</v>
      </c>
      <c r="E270" s="74" t="s">
        <v>404</v>
      </c>
      <c r="F270" s="10" t="s">
        <v>106</v>
      </c>
      <c r="G270" s="10" t="s">
        <v>200</v>
      </c>
      <c r="H270" s="11">
        <v>45939</v>
      </c>
      <c r="I270" s="11">
        <v>45939</v>
      </c>
      <c r="J270" s="12" t="s">
        <v>201</v>
      </c>
      <c r="K270" s="22">
        <v>750000</v>
      </c>
      <c r="L270" s="22">
        <v>250000</v>
      </c>
      <c r="M270" s="22">
        <v>225000</v>
      </c>
      <c r="N270" s="22">
        <v>200000</v>
      </c>
      <c r="O270" s="22">
        <v>0</v>
      </c>
      <c r="P270" s="22">
        <v>0</v>
      </c>
      <c r="Q270" s="22">
        <v>0</v>
      </c>
      <c r="R270" s="24">
        <f>SUM(K270-L270-M270-N270)</f>
        <v>75000</v>
      </c>
    </row>
    <row r="271" spans="1:18" ht="14.25" customHeight="1">
      <c r="A271" s="76">
        <v>251000029</v>
      </c>
      <c r="B271" s="76" t="s">
        <v>370</v>
      </c>
      <c r="C271" s="76" t="s">
        <v>15</v>
      </c>
      <c r="D271" s="76" t="s">
        <v>381</v>
      </c>
      <c r="E271" s="76" t="s">
        <v>398</v>
      </c>
      <c r="F271" s="76" t="s">
        <v>58</v>
      </c>
      <c r="G271" s="76" t="s">
        <v>166</v>
      </c>
      <c r="H271" s="92">
        <v>45940</v>
      </c>
      <c r="I271" s="92">
        <v>45942</v>
      </c>
      <c r="J271" s="113" t="s">
        <v>94</v>
      </c>
      <c r="K271" s="106">
        <v>2250000</v>
      </c>
      <c r="L271" s="108">
        <v>1400000</v>
      </c>
      <c r="M271" s="108">
        <v>450000</v>
      </c>
      <c r="N271" s="106">
        <v>100000</v>
      </c>
      <c r="O271" s="106">
        <v>0</v>
      </c>
      <c r="P271" s="106">
        <v>0</v>
      </c>
      <c r="Q271" s="106">
        <v>0</v>
      </c>
      <c r="R271" s="112">
        <f>SUM(K271-L271-L272-L273-M271-M272-M273-N271)</f>
        <v>300000</v>
      </c>
    </row>
    <row r="272" spans="1:18" ht="14.2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</row>
    <row r="273" spans="1:18" ht="14.2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</row>
    <row r="274" spans="1:18" ht="14.25" customHeight="1">
      <c r="A274" s="10">
        <v>251000030</v>
      </c>
      <c r="B274" s="10" t="s">
        <v>135</v>
      </c>
      <c r="C274" s="10" t="s">
        <v>136</v>
      </c>
      <c r="D274" s="10" t="s">
        <v>135</v>
      </c>
      <c r="E274" s="74" t="s">
        <v>404</v>
      </c>
      <c r="F274" s="10" t="s">
        <v>106</v>
      </c>
      <c r="G274" s="10" t="s">
        <v>22</v>
      </c>
      <c r="H274" s="11">
        <v>45940</v>
      </c>
      <c r="I274" s="11">
        <v>45940</v>
      </c>
      <c r="J274" s="12" t="s">
        <v>202</v>
      </c>
      <c r="K274" s="22">
        <v>809000</v>
      </c>
      <c r="L274" s="22">
        <v>250000</v>
      </c>
      <c r="M274" s="22">
        <v>225000</v>
      </c>
      <c r="N274" s="22">
        <v>100000</v>
      </c>
      <c r="O274" s="22">
        <v>59000</v>
      </c>
      <c r="P274" s="22">
        <v>0</v>
      </c>
      <c r="Q274" s="22">
        <v>0</v>
      </c>
      <c r="R274" s="24">
        <f>SUM(K274-L274-M274-N274-O274)</f>
        <v>175000</v>
      </c>
    </row>
    <row r="275" spans="1:18" ht="14.25" customHeight="1">
      <c r="A275" s="76">
        <v>251000031</v>
      </c>
      <c r="B275" s="76" t="s">
        <v>19</v>
      </c>
      <c r="C275" s="76" t="s">
        <v>15</v>
      </c>
      <c r="D275" s="76" t="s">
        <v>53</v>
      </c>
      <c r="E275" s="76" t="s">
        <v>395</v>
      </c>
      <c r="F275" s="76" t="s">
        <v>25</v>
      </c>
      <c r="G275" s="76" t="s">
        <v>22</v>
      </c>
      <c r="H275" s="92">
        <v>45940</v>
      </c>
      <c r="I275" s="92">
        <v>45943</v>
      </c>
      <c r="J275" s="113" t="s">
        <v>57</v>
      </c>
      <c r="K275" s="106">
        <v>4092096</v>
      </c>
      <c r="L275" s="108">
        <v>1600000</v>
      </c>
      <c r="M275" s="108">
        <v>775000</v>
      </c>
      <c r="N275" s="106">
        <v>200000</v>
      </c>
      <c r="O275" s="106">
        <v>0</v>
      </c>
      <c r="P275" s="106">
        <v>200000</v>
      </c>
      <c r="Q275" s="106" t="s">
        <v>203</v>
      </c>
      <c r="R275" s="112">
        <f>SUM(K275-L275-L276-L277-L278-M275-M276-M277-M278-N275-P275)</f>
        <v>1317096</v>
      </c>
    </row>
    <row r="276" spans="1:18" ht="14.2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</row>
    <row r="277" spans="1:18" ht="14.2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</row>
    <row r="278" spans="1:18" ht="14.2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</row>
    <row r="279" spans="1:18" ht="14.25" customHeight="1">
      <c r="A279" s="76">
        <v>251000032</v>
      </c>
      <c r="B279" s="76" t="s">
        <v>373</v>
      </c>
      <c r="C279" s="76" t="s">
        <v>28</v>
      </c>
      <c r="D279" s="76" t="s">
        <v>373</v>
      </c>
      <c r="E279" s="76" t="s">
        <v>395</v>
      </c>
      <c r="F279" s="76" t="s">
        <v>25</v>
      </c>
      <c r="G279" s="76" t="s">
        <v>36</v>
      </c>
      <c r="H279" s="92">
        <v>45940</v>
      </c>
      <c r="I279" s="92">
        <v>45941</v>
      </c>
      <c r="J279" s="113" t="s">
        <v>204</v>
      </c>
      <c r="K279" s="106">
        <v>1728001</v>
      </c>
      <c r="L279" s="108">
        <v>800000</v>
      </c>
      <c r="M279" s="108">
        <v>450000</v>
      </c>
      <c r="N279" s="106">
        <v>150000</v>
      </c>
      <c r="O279" s="106">
        <v>0</v>
      </c>
      <c r="P279" s="106">
        <v>0</v>
      </c>
      <c r="Q279" s="106">
        <v>0</v>
      </c>
      <c r="R279" s="112">
        <f>SUM(K279-L279-L280-M279-M280-N279)</f>
        <v>328001</v>
      </c>
    </row>
    <row r="280" spans="1:18" ht="14.2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</row>
    <row r="281" spans="1:18" ht="14.25" customHeight="1">
      <c r="A281" s="76">
        <v>251000033</v>
      </c>
      <c r="B281" s="76" t="s">
        <v>373</v>
      </c>
      <c r="C281" s="76" t="s">
        <v>28</v>
      </c>
      <c r="D281" s="76" t="s">
        <v>373</v>
      </c>
      <c r="E281" s="76" t="s">
        <v>395</v>
      </c>
      <c r="F281" s="76" t="s">
        <v>25</v>
      </c>
      <c r="G281" s="76" t="s">
        <v>39</v>
      </c>
      <c r="H281" s="92">
        <v>45940</v>
      </c>
      <c r="I281" s="92">
        <v>45941</v>
      </c>
      <c r="J281" s="113" t="s">
        <v>204</v>
      </c>
      <c r="K281" s="106">
        <v>1728001</v>
      </c>
      <c r="L281" s="108">
        <v>750000</v>
      </c>
      <c r="M281" s="108">
        <v>450000</v>
      </c>
      <c r="N281" s="106">
        <v>210000</v>
      </c>
      <c r="O281" s="106">
        <v>0</v>
      </c>
      <c r="P281" s="106">
        <v>0</v>
      </c>
      <c r="Q281" s="106">
        <v>0</v>
      </c>
      <c r="R281" s="112">
        <f>SUM(K281-L281-L282-M281-M282-N281)</f>
        <v>318001</v>
      </c>
    </row>
    <row r="282" spans="1:18" ht="14.2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</row>
    <row r="283" spans="1:18" ht="14.25" customHeight="1">
      <c r="A283" s="76">
        <v>251000034</v>
      </c>
      <c r="B283" s="76" t="s">
        <v>373</v>
      </c>
      <c r="C283" s="76" t="s">
        <v>28</v>
      </c>
      <c r="D283" s="76" t="s">
        <v>373</v>
      </c>
      <c r="E283" s="76" t="s">
        <v>395</v>
      </c>
      <c r="F283" s="76" t="s">
        <v>25</v>
      </c>
      <c r="G283" s="76" t="s">
        <v>205</v>
      </c>
      <c r="H283" s="92">
        <v>45940</v>
      </c>
      <c r="I283" s="92">
        <v>45941</v>
      </c>
      <c r="J283" s="113" t="s">
        <v>204</v>
      </c>
      <c r="K283" s="106">
        <v>1728001</v>
      </c>
      <c r="L283" s="108">
        <v>750001</v>
      </c>
      <c r="M283" s="108">
        <v>450000</v>
      </c>
      <c r="N283" s="106">
        <v>150000</v>
      </c>
      <c r="O283" s="106">
        <v>159000</v>
      </c>
      <c r="P283" s="106">
        <v>0</v>
      </c>
      <c r="Q283" s="106">
        <v>0</v>
      </c>
      <c r="R283" s="114">
        <f>SUM(K283-L283-M283-N283-O283-P283)</f>
        <v>219000</v>
      </c>
    </row>
    <row r="284" spans="1:18" ht="14.2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</row>
    <row r="285" spans="1:18" ht="14.25" customHeight="1">
      <c r="A285" s="10">
        <v>251015021</v>
      </c>
      <c r="B285" s="10" t="s">
        <v>181</v>
      </c>
      <c r="C285" s="10" t="s">
        <v>182</v>
      </c>
      <c r="D285" s="10" t="s">
        <v>181</v>
      </c>
      <c r="E285" s="10" t="s">
        <v>395</v>
      </c>
      <c r="F285" s="10" t="s">
        <v>25</v>
      </c>
      <c r="G285" s="10" t="s">
        <v>206</v>
      </c>
      <c r="H285" s="11">
        <v>45940</v>
      </c>
      <c r="I285" s="11">
        <v>45940</v>
      </c>
      <c r="J285" s="12" t="s">
        <v>27</v>
      </c>
      <c r="K285" s="23">
        <v>850000</v>
      </c>
      <c r="L285" s="23">
        <v>375000</v>
      </c>
      <c r="M285" s="23">
        <v>180000</v>
      </c>
      <c r="N285" s="23">
        <v>100000</v>
      </c>
      <c r="O285" s="23">
        <v>134000</v>
      </c>
      <c r="P285" s="23">
        <v>0</v>
      </c>
      <c r="Q285" s="23">
        <v>0</v>
      </c>
      <c r="R285" s="24">
        <f t="shared" ref="R285:R286" si="4">SUM(K285-L285-M285-N285-O285-P285)</f>
        <v>61000</v>
      </c>
    </row>
    <row r="286" spans="1:18" ht="14.25" customHeight="1">
      <c r="A286" s="76">
        <v>251016021</v>
      </c>
      <c r="B286" s="76" t="s">
        <v>181</v>
      </c>
      <c r="C286" s="76" t="s">
        <v>182</v>
      </c>
      <c r="D286" s="76" t="s">
        <v>181</v>
      </c>
      <c r="E286" s="76" t="s">
        <v>395</v>
      </c>
      <c r="F286" s="76" t="s">
        <v>25</v>
      </c>
      <c r="G286" s="76" t="s">
        <v>207</v>
      </c>
      <c r="H286" s="92">
        <v>45940</v>
      </c>
      <c r="I286" s="92">
        <v>45941</v>
      </c>
      <c r="J286" s="113" t="s">
        <v>208</v>
      </c>
      <c r="K286" s="106">
        <v>1300000</v>
      </c>
      <c r="L286" s="108">
        <v>575000</v>
      </c>
      <c r="M286" s="108">
        <v>325000</v>
      </c>
      <c r="N286" s="106">
        <v>100000</v>
      </c>
      <c r="O286" s="106">
        <v>37000</v>
      </c>
      <c r="P286" s="106">
        <v>0</v>
      </c>
      <c r="Q286" s="106">
        <v>0</v>
      </c>
      <c r="R286" s="114">
        <f t="shared" si="4"/>
        <v>263000</v>
      </c>
    </row>
    <row r="287" spans="1:18" ht="14.2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</row>
    <row r="288" spans="1:18" ht="14.25" customHeight="1">
      <c r="A288" s="76">
        <v>251017021</v>
      </c>
      <c r="B288" s="76" t="s">
        <v>181</v>
      </c>
      <c r="C288" s="76" t="s">
        <v>182</v>
      </c>
      <c r="D288" s="76" t="s">
        <v>181</v>
      </c>
      <c r="E288" s="76" t="s">
        <v>395</v>
      </c>
      <c r="F288" s="76" t="s">
        <v>25</v>
      </c>
      <c r="G288" s="76" t="s">
        <v>209</v>
      </c>
      <c r="H288" s="92">
        <v>45940</v>
      </c>
      <c r="I288" s="92">
        <v>45941</v>
      </c>
      <c r="J288" s="113" t="s">
        <v>210</v>
      </c>
      <c r="K288" s="106">
        <v>1125000</v>
      </c>
      <c r="L288" s="108">
        <v>575000</v>
      </c>
      <c r="M288" s="106">
        <v>280000</v>
      </c>
      <c r="N288" s="106">
        <v>100000</v>
      </c>
      <c r="O288" s="106">
        <v>49000</v>
      </c>
      <c r="P288" s="106">
        <v>0</v>
      </c>
      <c r="Q288" s="106">
        <v>0</v>
      </c>
      <c r="R288" s="114">
        <f>SUM(K288-L288-M288-N288-O288-P288)</f>
        <v>121000</v>
      </c>
    </row>
    <row r="289" spans="1:18" ht="14.2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</row>
    <row r="290" spans="1:18" ht="14.25" customHeight="1">
      <c r="A290" s="10">
        <v>251000035</v>
      </c>
      <c r="B290" s="10" t="s">
        <v>371</v>
      </c>
      <c r="C290" s="10" t="s">
        <v>32</v>
      </c>
      <c r="D290" s="10" t="s">
        <v>380</v>
      </c>
      <c r="E290" s="10" t="s">
        <v>395</v>
      </c>
      <c r="F290" s="10" t="s">
        <v>25</v>
      </c>
      <c r="G290" s="10" t="s">
        <v>30</v>
      </c>
      <c r="H290" s="11">
        <v>45944</v>
      </c>
      <c r="I290" s="11">
        <v>45944</v>
      </c>
      <c r="J290" s="12" t="s">
        <v>211</v>
      </c>
      <c r="K290" s="22">
        <v>2300000</v>
      </c>
      <c r="L290" s="22">
        <v>450000</v>
      </c>
      <c r="M290" s="22">
        <v>350000</v>
      </c>
      <c r="N290" s="22">
        <v>380000</v>
      </c>
      <c r="O290" s="22">
        <v>366000</v>
      </c>
      <c r="P290" s="22">
        <v>300000</v>
      </c>
      <c r="Q290" s="22" t="s">
        <v>212</v>
      </c>
      <c r="R290" s="24">
        <f>SUM(K290-L290-M290-N290-O290-P290)</f>
        <v>454000</v>
      </c>
    </row>
    <row r="291" spans="1:18" ht="14.25" customHeight="1">
      <c r="A291" s="10">
        <v>251000036</v>
      </c>
      <c r="B291" s="10" t="s">
        <v>213</v>
      </c>
      <c r="C291" s="10" t="s">
        <v>214</v>
      </c>
      <c r="D291" s="10" t="s">
        <v>213</v>
      </c>
      <c r="E291" s="74" t="s">
        <v>398</v>
      </c>
      <c r="F291" s="10" t="s">
        <v>58</v>
      </c>
      <c r="G291" s="10" t="s">
        <v>39</v>
      </c>
      <c r="H291" s="11">
        <v>45944</v>
      </c>
      <c r="I291" s="11">
        <v>45944</v>
      </c>
      <c r="J291" s="12" t="s">
        <v>137</v>
      </c>
      <c r="K291" s="23">
        <v>1600000</v>
      </c>
      <c r="L291" s="23">
        <v>700000</v>
      </c>
      <c r="M291" s="23">
        <v>250000</v>
      </c>
      <c r="N291" s="23">
        <v>210000</v>
      </c>
      <c r="O291" s="23">
        <v>0</v>
      </c>
      <c r="P291" s="23">
        <v>0</v>
      </c>
      <c r="Q291" s="23">
        <v>0</v>
      </c>
      <c r="R291" s="30">
        <f>SUM(K291-L291-M291-N291)</f>
        <v>440000</v>
      </c>
    </row>
    <row r="292" spans="1:18" ht="14.25" customHeight="1">
      <c r="A292" s="76">
        <v>251000037</v>
      </c>
      <c r="B292" s="76" t="s">
        <v>131</v>
      </c>
      <c r="C292" s="76" t="s">
        <v>132</v>
      </c>
      <c r="D292" s="76" t="s">
        <v>131</v>
      </c>
      <c r="E292" s="76" t="s">
        <v>404</v>
      </c>
      <c r="F292" s="76" t="s">
        <v>106</v>
      </c>
      <c r="G292" s="76" t="s">
        <v>17</v>
      </c>
      <c r="H292" s="92">
        <v>45944</v>
      </c>
      <c r="I292" s="92">
        <v>45945</v>
      </c>
      <c r="J292" s="113" t="s">
        <v>27</v>
      </c>
      <c r="K292" s="106">
        <v>1500000</v>
      </c>
      <c r="L292" s="106">
        <v>500000</v>
      </c>
      <c r="M292" s="106">
        <v>360000</v>
      </c>
      <c r="N292" s="106">
        <v>250000</v>
      </c>
      <c r="O292" s="106">
        <v>142500</v>
      </c>
      <c r="P292" s="106">
        <v>132000</v>
      </c>
      <c r="Q292" s="106" t="s">
        <v>215</v>
      </c>
      <c r="R292" s="114">
        <f>SUM(K292-L292-M292-N292-O292-P292)</f>
        <v>115500</v>
      </c>
    </row>
    <row r="293" spans="1:18" ht="14.2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</row>
    <row r="294" spans="1:18" ht="14.25" customHeight="1">
      <c r="A294" s="10">
        <v>251000038</v>
      </c>
      <c r="B294" s="10" t="s">
        <v>109</v>
      </c>
      <c r="C294" s="10" t="s">
        <v>216</v>
      </c>
      <c r="D294" s="10" t="s">
        <v>109</v>
      </c>
      <c r="E294" s="74" t="s">
        <v>404</v>
      </c>
      <c r="F294" s="10" t="s">
        <v>106</v>
      </c>
      <c r="G294" s="10" t="s">
        <v>67</v>
      </c>
      <c r="H294" s="11">
        <v>45944</v>
      </c>
      <c r="I294" s="11">
        <v>45944</v>
      </c>
      <c r="J294" s="12" t="s">
        <v>217</v>
      </c>
      <c r="K294" s="22">
        <v>1100000</v>
      </c>
      <c r="L294" s="22">
        <v>250000</v>
      </c>
      <c r="M294" s="22">
        <v>250000</v>
      </c>
      <c r="N294" s="22">
        <v>250000</v>
      </c>
      <c r="O294" s="22">
        <v>207500</v>
      </c>
      <c r="P294" s="22">
        <v>37500</v>
      </c>
      <c r="Q294" s="22" t="s">
        <v>218</v>
      </c>
      <c r="R294" s="24">
        <f t="shared" ref="R294:R295" si="5">SUM(K294-L294-M294-N294-O294-P294)</f>
        <v>105000</v>
      </c>
    </row>
    <row r="295" spans="1:18" ht="14.25" customHeight="1">
      <c r="A295" s="10">
        <v>251000039</v>
      </c>
      <c r="B295" s="10" t="s">
        <v>370</v>
      </c>
      <c r="C295" s="10" t="s">
        <v>15</v>
      </c>
      <c r="D295" s="10" t="s">
        <v>382</v>
      </c>
      <c r="E295" s="74" t="s">
        <v>398</v>
      </c>
      <c r="F295" s="10" t="s">
        <v>58</v>
      </c>
      <c r="G295" s="10" t="s">
        <v>17</v>
      </c>
      <c r="H295" s="11">
        <v>45942</v>
      </c>
      <c r="I295" s="11">
        <v>45942</v>
      </c>
      <c r="J295" s="12" t="s">
        <v>219</v>
      </c>
      <c r="K295" s="22">
        <v>1514000</v>
      </c>
      <c r="L295" s="22">
        <v>700000</v>
      </c>
      <c r="M295" s="22">
        <v>250000</v>
      </c>
      <c r="N295" s="22">
        <v>130000</v>
      </c>
      <c r="O295" s="22">
        <v>164000</v>
      </c>
      <c r="P295" s="22">
        <v>0</v>
      </c>
      <c r="Q295" s="22">
        <v>0</v>
      </c>
      <c r="R295" s="24">
        <f t="shared" si="5"/>
        <v>270000</v>
      </c>
    </row>
    <row r="296" spans="1:18" ht="14.25" customHeight="1">
      <c r="A296" s="10">
        <v>251000040</v>
      </c>
      <c r="B296" s="10" t="s">
        <v>373</v>
      </c>
      <c r="C296" s="10" t="s">
        <v>28</v>
      </c>
      <c r="D296" s="10" t="s">
        <v>373</v>
      </c>
      <c r="E296" s="10" t="s">
        <v>395</v>
      </c>
      <c r="F296" s="10" t="s">
        <v>25</v>
      </c>
      <c r="G296" s="10" t="s">
        <v>30</v>
      </c>
      <c r="H296" s="11">
        <v>45942</v>
      </c>
      <c r="I296" s="11">
        <v>45942</v>
      </c>
      <c r="J296" s="12" t="s">
        <v>31</v>
      </c>
      <c r="K296" s="22">
        <v>912000</v>
      </c>
      <c r="L296" s="22">
        <v>400000</v>
      </c>
      <c r="M296" s="22">
        <v>225000</v>
      </c>
      <c r="N296" s="22">
        <v>133000</v>
      </c>
      <c r="O296" s="22">
        <v>0</v>
      </c>
      <c r="P296" s="22">
        <v>0</v>
      </c>
      <c r="Q296" s="22">
        <v>0</v>
      </c>
      <c r="R296" s="24">
        <f>SUM(K296-L296-M296-N296)</f>
        <v>154000</v>
      </c>
    </row>
    <row r="297" spans="1:18" ht="14.25" customHeight="1">
      <c r="A297" s="76">
        <v>251000041</v>
      </c>
      <c r="B297" s="76" t="s">
        <v>19</v>
      </c>
      <c r="C297" s="76" t="s">
        <v>20</v>
      </c>
      <c r="D297" s="76" t="s">
        <v>55</v>
      </c>
      <c r="E297" s="76" t="s">
        <v>395</v>
      </c>
      <c r="F297" s="76" t="s">
        <v>25</v>
      </c>
      <c r="G297" s="76" t="s">
        <v>166</v>
      </c>
      <c r="H297" s="92">
        <v>45945</v>
      </c>
      <c r="I297" s="92">
        <v>45948</v>
      </c>
      <c r="J297" s="113" t="s">
        <v>220</v>
      </c>
      <c r="K297" s="106">
        <v>3450000</v>
      </c>
      <c r="L297" s="108">
        <v>1600000</v>
      </c>
      <c r="M297" s="108">
        <v>900000</v>
      </c>
      <c r="N297" s="106">
        <v>530000</v>
      </c>
      <c r="O297" s="106">
        <v>0</v>
      </c>
      <c r="P297" s="106">
        <v>0</v>
      </c>
      <c r="Q297" s="106">
        <v>0</v>
      </c>
      <c r="R297" s="112">
        <f>SUM(K297-L297-L298-L299-L300-M297-M298-M299-M300-N297)</f>
        <v>420000</v>
      </c>
    </row>
    <row r="298" spans="1:18" ht="14.2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</row>
    <row r="299" spans="1:18" ht="14.2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</row>
    <row r="300" spans="1:18" ht="14.2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</row>
    <row r="301" spans="1:18" ht="14.25" customHeight="1">
      <c r="A301" s="10">
        <v>251000042</v>
      </c>
      <c r="B301" s="10" t="s">
        <v>109</v>
      </c>
      <c r="C301" s="10" t="s">
        <v>216</v>
      </c>
      <c r="D301" s="10" t="s">
        <v>109</v>
      </c>
      <c r="E301" s="10" t="s">
        <v>395</v>
      </c>
      <c r="F301" s="10" t="s">
        <v>25</v>
      </c>
      <c r="G301" s="10" t="s">
        <v>221</v>
      </c>
      <c r="H301" s="11">
        <v>45945</v>
      </c>
      <c r="I301" s="11">
        <v>45945</v>
      </c>
      <c r="J301" s="12" t="s">
        <v>221</v>
      </c>
      <c r="K301" s="22">
        <v>0</v>
      </c>
      <c r="L301" s="22">
        <v>400000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4">
        <v>0</v>
      </c>
    </row>
    <row r="302" spans="1:18" ht="14.25" customHeight="1">
      <c r="A302" s="76">
        <v>251000043</v>
      </c>
      <c r="B302" s="76" t="s">
        <v>19</v>
      </c>
      <c r="C302" s="76" t="s">
        <v>20</v>
      </c>
      <c r="D302" s="76" t="s">
        <v>53</v>
      </c>
      <c r="E302" s="76" t="s">
        <v>395</v>
      </c>
      <c r="F302" s="76" t="s">
        <v>25</v>
      </c>
      <c r="G302" s="76" t="s">
        <v>61</v>
      </c>
      <c r="H302" s="92">
        <v>45946</v>
      </c>
      <c r="I302" s="92">
        <v>45948</v>
      </c>
      <c r="J302" s="113" t="s">
        <v>222</v>
      </c>
      <c r="K302" s="106">
        <v>2700033</v>
      </c>
      <c r="L302" s="108">
        <v>1000000</v>
      </c>
      <c r="M302" s="108">
        <v>550000</v>
      </c>
      <c r="N302" s="106">
        <v>317000</v>
      </c>
      <c r="O302" s="106">
        <v>0</v>
      </c>
      <c r="P302" s="106">
        <v>0</v>
      </c>
      <c r="Q302" s="106">
        <v>0</v>
      </c>
      <c r="R302" s="112">
        <f>SUM(K302-L302-L303-L304-M302-M303-M304-N302)</f>
        <v>833033</v>
      </c>
    </row>
    <row r="303" spans="1:18" ht="14.2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</row>
    <row r="304" spans="1:18" ht="14.2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</row>
    <row r="305" spans="1:18" ht="14.25" customHeight="1">
      <c r="A305" s="76">
        <v>251000044</v>
      </c>
      <c r="B305" s="76" t="s">
        <v>19</v>
      </c>
      <c r="C305" s="76" t="s">
        <v>20</v>
      </c>
      <c r="D305" s="76" t="s">
        <v>53</v>
      </c>
      <c r="E305" s="76" t="s">
        <v>395</v>
      </c>
      <c r="F305" s="76" t="s">
        <v>25</v>
      </c>
      <c r="G305" s="76" t="s">
        <v>17</v>
      </c>
      <c r="H305" s="92">
        <v>45946</v>
      </c>
      <c r="I305" s="92">
        <v>45948</v>
      </c>
      <c r="J305" s="113" t="s">
        <v>223</v>
      </c>
      <c r="K305" s="106">
        <v>1500000</v>
      </c>
      <c r="L305" s="108">
        <v>800000</v>
      </c>
      <c r="M305" s="108">
        <v>380000</v>
      </c>
      <c r="N305" s="106">
        <v>150000</v>
      </c>
      <c r="O305" s="106">
        <v>0</v>
      </c>
      <c r="P305" s="106">
        <v>0</v>
      </c>
      <c r="Q305" s="106">
        <v>0</v>
      </c>
      <c r="R305" s="112">
        <f>SUM(K305-L305-L306-L307-M305-M306-M307-N305)</f>
        <v>170000</v>
      </c>
    </row>
    <row r="306" spans="1:18" ht="14.2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</row>
    <row r="307" spans="1:18" ht="14.2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</row>
    <row r="308" spans="1:18" ht="14.25" customHeight="1">
      <c r="A308" s="76">
        <v>251000045</v>
      </c>
      <c r="B308" s="76" t="s">
        <v>378</v>
      </c>
      <c r="C308" s="76" t="s">
        <v>224</v>
      </c>
      <c r="D308" s="76" t="s">
        <v>378</v>
      </c>
      <c r="E308" s="76" t="s">
        <v>395</v>
      </c>
      <c r="F308" s="76" t="s">
        <v>25</v>
      </c>
      <c r="G308" s="76" t="s">
        <v>30</v>
      </c>
      <c r="H308" s="92">
        <v>45946</v>
      </c>
      <c r="I308" s="92">
        <v>45948</v>
      </c>
      <c r="J308" s="113" t="s">
        <v>27</v>
      </c>
      <c r="K308" s="106">
        <v>2400000</v>
      </c>
      <c r="L308" s="108">
        <v>1200000</v>
      </c>
      <c r="M308" s="106">
        <v>540000</v>
      </c>
      <c r="N308" s="106">
        <v>240000</v>
      </c>
      <c r="O308" s="106">
        <v>0</v>
      </c>
      <c r="P308" s="106">
        <v>0</v>
      </c>
      <c r="Q308" s="106">
        <v>0</v>
      </c>
      <c r="R308" s="112">
        <f>SUM(K308-L308-L309-L310-M308-M309-M310-N308)</f>
        <v>420000</v>
      </c>
    </row>
    <row r="309" spans="1:18" ht="14.2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</row>
    <row r="310" spans="1:18" ht="14.2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</row>
    <row r="311" spans="1:18" ht="14.25" customHeight="1">
      <c r="A311" s="76">
        <v>251000046</v>
      </c>
      <c r="B311" s="76" t="s">
        <v>225</v>
      </c>
      <c r="C311" s="76" t="s">
        <v>226</v>
      </c>
      <c r="D311" s="76" t="s">
        <v>225</v>
      </c>
      <c r="E311" s="76" t="s">
        <v>398</v>
      </c>
      <c r="F311" s="76" t="s">
        <v>58</v>
      </c>
      <c r="G311" s="76" t="s">
        <v>59</v>
      </c>
      <c r="H311" s="92">
        <v>45946</v>
      </c>
      <c r="I311" s="92">
        <v>45947</v>
      </c>
      <c r="J311" s="113" t="s">
        <v>227</v>
      </c>
      <c r="K311" s="106">
        <v>3800000</v>
      </c>
      <c r="L311" s="108">
        <v>1500000</v>
      </c>
      <c r="M311" s="108">
        <v>750000</v>
      </c>
      <c r="N311" s="106">
        <v>714000</v>
      </c>
      <c r="O311" s="106">
        <v>0</v>
      </c>
      <c r="P311" s="106">
        <v>0</v>
      </c>
      <c r="Q311" s="106">
        <v>0</v>
      </c>
      <c r="R311" s="112">
        <f>SUM(K311-L311-L312-M311-M312-N311)</f>
        <v>836000</v>
      </c>
    </row>
    <row r="312" spans="1:18" ht="14.2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</row>
    <row r="313" spans="1:18" ht="14.25" customHeight="1">
      <c r="A313" s="76">
        <v>251000047</v>
      </c>
      <c r="B313" s="76" t="s">
        <v>373</v>
      </c>
      <c r="C313" s="76" t="s">
        <v>28</v>
      </c>
      <c r="D313" s="76" t="s">
        <v>373</v>
      </c>
      <c r="E313" s="76" t="s">
        <v>395</v>
      </c>
      <c r="F313" s="76" t="s">
        <v>25</v>
      </c>
      <c r="G313" s="76" t="s">
        <v>228</v>
      </c>
      <c r="H313" s="92">
        <v>45947</v>
      </c>
      <c r="I313" s="92">
        <v>45948</v>
      </c>
      <c r="J313" s="113" t="s">
        <v>229</v>
      </c>
      <c r="K313" s="106">
        <v>2112001</v>
      </c>
      <c r="L313" s="106">
        <v>400000</v>
      </c>
      <c r="M313" s="106">
        <v>550000</v>
      </c>
      <c r="N313" s="106">
        <v>390000</v>
      </c>
      <c r="O313" s="106">
        <v>0</v>
      </c>
      <c r="P313" s="106">
        <v>0</v>
      </c>
      <c r="Q313" s="106">
        <v>0</v>
      </c>
      <c r="R313" s="112">
        <f>SUM(K313-L313-L314-M313-M314-N313)</f>
        <v>772001</v>
      </c>
    </row>
    <row r="314" spans="1:18" ht="14.2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</row>
    <row r="315" spans="1:18" ht="14.25" customHeight="1">
      <c r="A315" s="10">
        <v>251000077</v>
      </c>
      <c r="B315" s="10" t="s">
        <v>374</v>
      </c>
      <c r="C315" s="10" t="s">
        <v>104</v>
      </c>
      <c r="D315" s="10" t="s">
        <v>374</v>
      </c>
      <c r="E315" s="10" t="s">
        <v>395</v>
      </c>
      <c r="F315" s="10" t="s">
        <v>25</v>
      </c>
      <c r="G315" s="10" t="s">
        <v>67</v>
      </c>
      <c r="H315" s="11">
        <v>45947</v>
      </c>
      <c r="I315" s="11">
        <v>45947</v>
      </c>
      <c r="J315" s="12" t="s">
        <v>230</v>
      </c>
      <c r="K315" s="23">
        <v>1050000</v>
      </c>
      <c r="L315" s="23">
        <v>400000</v>
      </c>
      <c r="M315" s="23">
        <v>225000</v>
      </c>
      <c r="N315" s="23">
        <v>230000</v>
      </c>
      <c r="O315" s="23">
        <v>0</v>
      </c>
      <c r="P315" s="23">
        <v>0</v>
      </c>
      <c r="Q315" s="23">
        <v>0</v>
      </c>
      <c r="R315" s="30">
        <f>SUM(K315-L315-M315-N315)</f>
        <v>195000</v>
      </c>
    </row>
    <row r="316" spans="1:18" ht="14.25" customHeight="1">
      <c r="A316" s="76">
        <v>251000048</v>
      </c>
      <c r="B316" s="76" t="s">
        <v>19</v>
      </c>
      <c r="C316" s="76" t="s">
        <v>20</v>
      </c>
      <c r="D316" s="76" t="s">
        <v>21</v>
      </c>
      <c r="E316" s="76" t="s">
        <v>395</v>
      </c>
      <c r="F316" s="76" t="s">
        <v>25</v>
      </c>
      <c r="G316" s="76" t="s">
        <v>61</v>
      </c>
      <c r="H316" s="92">
        <v>45949</v>
      </c>
      <c r="I316" s="92">
        <v>45951</v>
      </c>
      <c r="J316" s="113" t="s">
        <v>231</v>
      </c>
      <c r="K316" s="106">
        <v>2653730</v>
      </c>
      <c r="L316" s="106">
        <v>1200000</v>
      </c>
      <c r="M316" s="106">
        <v>675000</v>
      </c>
      <c r="N316" s="106">
        <v>203000</v>
      </c>
      <c r="O316" s="106">
        <v>81000</v>
      </c>
      <c r="P316" s="106">
        <v>0</v>
      </c>
      <c r="Q316" s="106" t="s">
        <v>232</v>
      </c>
      <c r="R316" s="112">
        <f>SUM(K316-L316-L317-L318-M316-M317-M318-N316-O316)</f>
        <v>494730</v>
      </c>
    </row>
    <row r="317" spans="1:18" ht="14.2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</row>
    <row r="318" spans="1:18" ht="14.2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</row>
    <row r="319" spans="1:18" ht="14.25" customHeight="1">
      <c r="A319" s="76">
        <v>251000049</v>
      </c>
      <c r="B319" s="76" t="s">
        <v>19</v>
      </c>
      <c r="C319" s="76" t="s">
        <v>20</v>
      </c>
      <c r="D319" s="76" t="s">
        <v>55</v>
      </c>
      <c r="E319" s="76" t="s">
        <v>395</v>
      </c>
      <c r="F319" s="76" t="s">
        <v>25</v>
      </c>
      <c r="G319" s="76" t="s">
        <v>67</v>
      </c>
      <c r="H319" s="92">
        <v>45949</v>
      </c>
      <c r="I319" s="92">
        <v>45950</v>
      </c>
      <c r="J319" s="113" t="s">
        <v>54</v>
      </c>
      <c r="K319" s="106">
        <v>1896048</v>
      </c>
      <c r="L319" s="106">
        <v>800000</v>
      </c>
      <c r="M319" s="106">
        <v>450000</v>
      </c>
      <c r="N319" s="106">
        <v>190000</v>
      </c>
      <c r="O319" s="106">
        <v>0</v>
      </c>
      <c r="P319" s="106">
        <v>0</v>
      </c>
      <c r="Q319" s="106">
        <v>0</v>
      </c>
      <c r="R319" s="112">
        <f>SUM(K319-L319-L320-M319-M320-N319)</f>
        <v>456048</v>
      </c>
    </row>
    <row r="320" spans="1:18" ht="14.2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</row>
    <row r="321" spans="1:18" ht="14.25" customHeight="1">
      <c r="A321" s="76">
        <v>251000050</v>
      </c>
      <c r="B321" s="76" t="s">
        <v>233</v>
      </c>
      <c r="C321" s="76" t="s">
        <v>234</v>
      </c>
      <c r="D321" s="76" t="s">
        <v>233</v>
      </c>
      <c r="E321" s="76" t="s">
        <v>395</v>
      </c>
      <c r="F321" s="76" t="s">
        <v>25</v>
      </c>
      <c r="G321" s="76" t="s">
        <v>59</v>
      </c>
      <c r="H321" s="92">
        <v>45950</v>
      </c>
      <c r="I321" s="92">
        <v>45951</v>
      </c>
      <c r="J321" s="113" t="s">
        <v>48</v>
      </c>
      <c r="K321" s="106">
        <v>1700000</v>
      </c>
      <c r="L321" s="106">
        <v>750000</v>
      </c>
      <c r="M321" s="106">
        <v>450000</v>
      </c>
      <c r="N321" s="106">
        <v>192000</v>
      </c>
      <c r="O321" s="106">
        <v>0</v>
      </c>
      <c r="P321" s="106">
        <v>200000</v>
      </c>
      <c r="Q321" s="106" t="s">
        <v>235</v>
      </c>
      <c r="R321" s="114">
        <f>SUM(K321-L321-M321-N321-O321-P321)</f>
        <v>108000</v>
      </c>
    </row>
    <row r="322" spans="1:18" ht="14.2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</row>
    <row r="323" spans="1:18" ht="14.25" customHeight="1">
      <c r="A323" s="76">
        <v>251000051</v>
      </c>
      <c r="B323" s="76" t="s">
        <v>370</v>
      </c>
      <c r="C323" s="76" t="s">
        <v>15</v>
      </c>
      <c r="D323" s="76" t="s">
        <v>381</v>
      </c>
      <c r="E323" s="76" t="s">
        <v>398</v>
      </c>
      <c r="F323" s="76" t="s">
        <v>58</v>
      </c>
      <c r="G323" s="76" t="s">
        <v>59</v>
      </c>
      <c r="H323" s="92">
        <v>45950</v>
      </c>
      <c r="I323" s="92">
        <v>45956</v>
      </c>
      <c r="J323" s="113" t="s">
        <v>236</v>
      </c>
      <c r="K323" s="106">
        <v>6250000</v>
      </c>
      <c r="L323" s="108">
        <v>4200000</v>
      </c>
      <c r="M323" s="108">
        <v>1150000</v>
      </c>
      <c r="N323" s="106">
        <v>530000</v>
      </c>
      <c r="O323" s="106">
        <v>309500</v>
      </c>
      <c r="P323" s="106">
        <v>0</v>
      </c>
      <c r="Q323" s="106">
        <v>0</v>
      </c>
      <c r="R323" s="112">
        <f>SUM(K323-L323-L324-L325-L326-L327-L328-M323-M324-M325-M326-M327-M328-N323-N328)</f>
        <v>370000</v>
      </c>
    </row>
    <row r="324" spans="1:18" ht="14.2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</row>
    <row r="325" spans="1:18" ht="14.2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</row>
    <row r="326" spans="1:18" ht="14.2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</row>
    <row r="327" spans="1:18" ht="14.2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</row>
    <row r="328" spans="1:18" ht="14.2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</row>
    <row r="329" spans="1:18" ht="14.25" customHeight="1">
      <c r="A329" s="10">
        <v>251000052</v>
      </c>
      <c r="B329" s="10" t="s">
        <v>237</v>
      </c>
      <c r="C329" s="10" t="s">
        <v>238</v>
      </c>
      <c r="D329" s="10" t="s">
        <v>237</v>
      </c>
      <c r="E329" s="74" t="s">
        <v>402</v>
      </c>
      <c r="F329" s="74" t="s">
        <v>239</v>
      </c>
      <c r="G329" s="10" t="s">
        <v>22</v>
      </c>
      <c r="H329" s="11">
        <v>45949</v>
      </c>
      <c r="I329" s="11">
        <v>45949</v>
      </c>
      <c r="J329" s="12" t="s">
        <v>240</v>
      </c>
      <c r="K329" s="23">
        <v>1550000</v>
      </c>
      <c r="L329" s="23">
        <v>600000</v>
      </c>
      <c r="M329" s="23">
        <v>225000</v>
      </c>
      <c r="N329" s="23">
        <v>250000</v>
      </c>
      <c r="O329" s="23">
        <v>233500</v>
      </c>
      <c r="P329" s="23">
        <v>50000</v>
      </c>
      <c r="Q329" s="23" t="s">
        <v>33</v>
      </c>
      <c r="R329" s="24">
        <f t="shared" ref="R329:R338" si="6">SUM(K329-L329-M329-N329-O329-P329)</f>
        <v>191500</v>
      </c>
    </row>
    <row r="330" spans="1:18" ht="14.25" customHeight="1">
      <c r="A330" s="10">
        <v>251000052</v>
      </c>
      <c r="B330" s="10" t="s">
        <v>237</v>
      </c>
      <c r="C330" s="10" t="s">
        <v>238</v>
      </c>
      <c r="D330" s="10" t="s">
        <v>237</v>
      </c>
      <c r="E330" s="10" t="s">
        <v>395</v>
      </c>
      <c r="F330" s="10" t="s">
        <v>25</v>
      </c>
      <c r="G330" s="10" t="s">
        <v>30</v>
      </c>
      <c r="H330" s="11">
        <v>45951</v>
      </c>
      <c r="I330" s="11">
        <v>45951</v>
      </c>
      <c r="J330" s="12" t="s">
        <v>27</v>
      </c>
      <c r="K330" s="23">
        <v>850000</v>
      </c>
      <c r="L330" s="23">
        <v>400000</v>
      </c>
      <c r="M330" s="23">
        <v>180000</v>
      </c>
      <c r="N330" s="23">
        <v>140000</v>
      </c>
      <c r="O330" s="23">
        <v>46000</v>
      </c>
      <c r="P330" s="23">
        <v>0</v>
      </c>
      <c r="Q330" s="23"/>
      <c r="R330" s="24">
        <f t="shared" si="6"/>
        <v>84000</v>
      </c>
    </row>
    <row r="331" spans="1:18" ht="14.25" customHeight="1">
      <c r="A331" s="10">
        <v>251000053</v>
      </c>
      <c r="B331" s="10" t="s">
        <v>241</v>
      </c>
      <c r="C331" s="10" t="s">
        <v>242</v>
      </c>
      <c r="D331" s="10" t="s">
        <v>241</v>
      </c>
      <c r="E331" s="10" t="s">
        <v>395</v>
      </c>
      <c r="F331" s="10" t="s">
        <v>25</v>
      </c>
      <c r="G331" s="10" t="s">
        <v>30</v>
      </c>
      <c r="H331" s="11">
        <v>45952</v>
      </c>
      <c r="I331" s="11">
        <v>45952</v>
      </c>
      <c r="J331" s="12" t="s">
        <v>27</v>
      </c>
      <c r="K331" s="23">
        <v>850000</v>
      </c>
      <c r="L331" s="23">
        <v>400000</v>
      </c>
      <c r="M331" s="23">
        <v>180000</v>
      </c>
      <c r="N331" s="23">
        <v>45000</v>
      </c>
      <c r="O331" s="23">
        <v>0</v>
      </c>
      <c r="P331" s="23">
        <v>0</v>
      </c>
      <c r="Q331" s="23">
        <v>0</v>
      </c>
      <c r="R331" s="24">
        <f t="shared" si="6"/>
        <v>225000</v>
      </c>
    </row>
    <row r="332" spans="1:18" ht="14.25" customHeight="1">
      <c r="A332" s="10">
        <v>251001054</v>
      </c>
      <c r="B332" s="36" t="s">
        <v>19</v>
      </c>
      <c r="C332" s="10" t="s">
        <v>20</v>
      </c>
      <c r="D332" s="36" t="s">
        <v>243</v>
      </c>
      <c r="E332" s="74" t="s">
        <v>398</v>
      </c>
      <c r="F332" s="36" t="s">
        <v>58</v>
      </c>
      <c r="G332" s="36" t="s">
        <v>17</v>
      </c>
      <c r="H332" s="11">
        <v>45954</v>
      </c>
      <c r="I332" s="11">
        <v>45954</v>
      </c>
      <c r="J332" s="37" t="s">
        <v>244</v>
      </c>
      <c r="K332" s="20">
        <v>1300000</v>
      </c>
      <c r="L332" s="23">
        <v>700000</v>
      </c>
      <c r="M332" s="23">
        <v>250000</v>
      </c>
      <c r="N332" s="23">
        <v>200000</v>
      </c>
      <c r="O332" s="23">
        <v>142500</v>
      </c>
      <c r="P332" s="23">
        <v>0</v>
      </c>
      <c r="Q332" s="23">
        <v>0</v>
      </c>
      <c r="R332" s="24">
        <f t="shared" si="6"/>
        <v>7500</v>
      </c>
    </row>
    <row r="333" spans="1:18" ht="14.25" customHeight="1">
      <c r="A333" s="10">
        <v>251002054</v>
      </c>
      <c r="B333" s="36" t="s">
        <v>19</v>
      </c>
      <c r="C333" s="10" t="s">
        <v>20</v>
      </c>
      <c r="D333" s="36" t="s">
        <v>243</v>
      </c>
      <c r="E333" s="74" t="s">
        <v>398</v>
      </c>
      <c r="F333" s="36" t="s">
        <v>58</v>
      </c>
      <c r="G333" s="36" t="s">
        <v>30</v>
      </c>
      <c r="H333" s="11">
        <v>45954</v>
      </c>
      <c r="I333" s="11">
        <v>45954</v>
      </c>
      <c r="J333" s="37" t="s">
        <v>244</v>
      </c>
      <c r="K333" s="20">
        <v>1300000</v>
      </c>
      <c r="L333" s="23">
        <v>700000</v>
      </c>
      <c r="M333" s="23">
        <v>250000</v>
      </c>
      <c r="N333" s="23">
        <v>0</v>
      </c>
      <c r="O333" s="23">
        <v>60000</v>
      </c>
      <c r="P333" s="23">
        <v>30000</v>
      </c>
      <c r="Q333" s="23" t="s">
        <v>245</v>
      </c>
      <c r="R333" s="24">
        <f t="shared" si="6"/>
        <v>260000</v>
      </c>
    </row>
    <row r="334" spans="1:18" ht="14.25" customHeight="1">
      <c r="A334" s="10">
        <v>251003054</v>
      </c>
      <c r="B334" s="38" t="s">
        <v>19</v>
      </c>
      <c r="C334" s="10" t="s">
        <v>20</v>
      </c>
      <c r="D334" s="38" t="s">
        <v>243</v>
      </c>
      <c r="E334" s="74" t="s">
        <v>399</v>
      </c>
      <c r="F334" s="38" t="s">
        <v>71</v>
      </c>
      <c r="G334" s="38" t="s">
        <v>246</v>
      </c>
      <c r="H334" s="11">
        <v>45954</v>
      </c>
      <c r="I334" s="11">
        <v>45954</v>
      </c>
      <c r="J334" s="37" t="s">
        <v>244</v>
      </c>
      <c r="K334" s="20">
        <v>2875000</v>
      </c>
      <c r="L334" s="23">
        <v>2500000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4">
        <f t="shared" si="6"/>
        <v>375000</v>
      </c>
    </row>
    <row r="335" spans="1:18" ht="14.25" customHeight="1">
      <c r="A335" s="10">
        <v>251004054</v>
      </c>
      <c r="B335" s="36" t="s">
        <v>19</v>
      </c>
      <c r="C335" s="10" t="s">
        <v>20</v>
      </c>
      <c r="D335" s="36" t="s">
        <v>243</v>
      </c>
      <c r="E335" s="74" t="s">
        <v>398</v>
      </c>
      <c r="F335" s="36" t="s">
        <v>58</v>
      </c>
      <c r="G335" s="36" t="s">
        <v>17</v>
      </c>
      <c r="H335" s="11">
        <v>45952</v>
      </c>
      <c r="I335" s="11">
        <v>45952</v>
      </c>
      <c r="J335" s="37" t="s">
        <v>244</v>
      </c>
      <c r="K335" s="20">
        <v>1300000</v>
      </c>
      <c r="L335" s="23">
        <v>700000</v>
      </c>
      <c r="M335" s="23">
        <v>250000</v>
      </c>
      <c r="N335" s="23">
        <v>200000</v>
      </c>
      <c r="O335" s="23">
        <v>129500</v>
      </c>
      <c r="P335" s="23">
        <v>0</v>
      </c>
      <c r="Q335" s="23">
        <v>0</v>
      </c>
      <c r="R335" s="24">
        <f t="shared" si="6"/>
        <v>20500</v>
      </c>
    </row>
    <row r="336" spans="1:18" ht="14.25" customHeight="1">
      <c r="A336" s="10">
        <v>251005054</v>
      </c>
      <c r="B336" s="36" t="s">
        <v>19</v>
      </c>
      <c r="C336" s="10" t="s">
        <v>20</v>
      </c>
      <c r="D336" s="36" t="s">
        <v>243</v>
      </c>
      <c r="E336" s="74" t="s">
        <v>398</v>
      </c>
      <c r="F336" s="36" t="s">
        <v>58</v>
      </c>
      <c r="G336" s="36" t="s">
        <v>67</v>
      </c>
      <c r="H336" s="11">
        <v>45952</v>
      </c>
      <c r="I336" s="11">
        <v>45952</v>
      </c>
      <c r="J336" s="37" t="s">
        <v>244</v>
      </c>
      <c r="K336" s="20">
        <v>1300000</v>
      </c>
      <c r="L336" s="23">
        <v>700000</v>
      </c>
      <c r="M336" s="23">
        <v>250000</v>
      </c>
      <c r="N336" s="23">
        <v>165000</v>
      </c>
      <c r="O336" s="23">
        <v>94500</v>
      </c>
      <c r="P336" s="23">
        <v>0</v>
      </c>
      <c r="Q336" s="23">
        <v>0</v>
      </c>
      <c r="R336" s="24">
        <f t="shared" si="6"/>
        <v>90500</v>
      </c>
    </row>
    <row r="337" spans="1:18" ht="14.25" customHeight="1">
      <c r="A337" s="10">
        <v>251006054</v>
      </c>
      <c r="B337" s="36" t="s">
        <v>19</v>
      </c>
      <c r="C337" s="10" t="s">
        <v>20</v>
      </c>
      <c r="D337" s="36" t="s">
        <v>243</v>
      </c>
      <c r="E337" s="74" t="s">
        <v>399</v>
      </c>
      <c r="F337" s="36" t="s">
        <v>71</v>
      </c>
      <c r="G337" s="36" t="s">
        <v>246</v>
      </c>
      <c r="H337" s="11">
        <v>45952</v>
      </c>
      <c r="I337" s="11">
        <v>45952</v>
      </c>
      <c r="J337" s="37" t="s">
        <v>244</v>
      </c>
      <c r="K337" s="20">
        <v>2875000</v>
      </c>
      <c r="L337" s="23">
        <v>2500000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4">
        <f t="shared" si="6"/>
        <v>375000</v>
      </c>
    </row>
    <row r="338" spans="1:18" ht="14.25" customHeight="1">
      <c r="A338" s="76">
        <v>251000055</v>
      </c>
      <c r="B338" s="90" t="s">
        <v>373</v>
      </c>
      <c r="C338" s="76" t="s">
        <v>28</v>
      </c>
      <c r="D338" s="90" t="s">
        <v>247</v>
      </c>
      <c r="E338" s="90" t="s">
        <v>395</v>
      </c>
      <c r="F338" s="90" t="s">
        <v>25</v>
      </c>
      <c r="G338" s="90" t="s">
        <v>39</v>
      </c>
      <c r="H338" s="129">
        <v>45953</v>
      </c>
      <c r="I338" s="129">
        <v>45954</v>
      </c>
      <c r="J338" s="131" t="s">
        <v>248</v>
      </c>
      <c r="K338" s="106">
        <v>1728000</v>
      </c>
      <c r="L338" s="106">
        <v>800000</v>
      </c>
      <c r="M338" s="106">
        <v>450000</v>
      </c>
      <c r="N338" s="106">
        <v>200000</v>
      </c>
      <c r="O338" s="106">
        <v>150000</v>
      </c>
      <c r="P338" s="106">
        <v>0</v>
      </c>
      <c r="Q338" s="106">
        <v>0</v>
      </c>
      <c r="R338" s="114">
        <f t="shared" si="6"/>
        <v>128000</v>
      </c>
    </row>
    <row r="339" spans="1:18" ht="14.2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</row>
    <row r="340" spans="1:18" ht="14.25" customHeight="1">
      <c r="A340" s="76">
        <v>251000056</v>
      </c>
      <c r="B340" s="79" t="s">
        <v>373</v>
      </c>
      <c r="C340" s="81" t="s">
        <v>28</v>
      </c>
      <c r="D340" s="79" t="s">
        <v>29</v>
      </c>
      <c r="E340" s="81" t="s">
        <v>395</v>
      </c>
      <c r="F340" s="79" t="s">
        <v>25</v>
      </c>
      <c r="G340" s="79" t="s">
        <v>36</v>
      </c>
      <c r="H340" s="83">
        <v>45953</v>
      </c>
      <c r="I340" s="129">
        <v>45954</v>
      </c>
      <c r="J340" s="131" t="s">
        <v>248</v>
      </c>
      <c r="K340" s="106">
        <v>1728000</v>
      </c>
      <c r="L340" s="106">
        <v>800000</v>
      </c>
      <c r="M340" s="106">
        <v>450000</v>
      </c>
      <c r="N340" s="108">
        <v>175000</v>
      </c>
      <c r="O340" s="108">
        <v>44000</v>
      </c>
      <c r="P340" s="106">
        <v>0</v>
      </c>
      <c r="Q340" s="106">
        <v>0</v>
      </c>
      <c r="R340" s="114">
        <f>SUM(K340-L340-M340-N340-O340-P340)</f>
        <v>259000</v>
      </c>
    </row>
    <row r="341" spans="1:18" ht="14.25" customHeight="1">
      <c r="A341" s="77"/>
      <c r="B341" s="80"/>
      <c r="C341" s="82"/>
      <c r="D341" s="80"/>
      <c r="E341" s="82"/>
      <c r="F341" s="80"/>
      <c r="G341" s="80"/>
      <c r="H341" s="84"/>
      <c r="I341" s="77"/>
      <c r="J341" s="77"/>
      <c r="K341" s="77"/>
      <c r="L341" s="77"/>
      <c r="M341" s="77"/>
      <c r="N341" s="77"/>
      <c r="O341" s="77"/>
      <c r="P341" s="77"/>
      <c r="Q341" s="77"/>
      <c r="R341" s="77"/>
    </row>
    <row r="342" spans="1:18" ht="14.25" customHeight="1">
      <c r="A342" s="76">
        <v>251000057</v>
      </c>
      <c r="B342" s="81" t="s">
        <v>19</v>
      </c>
      <c r="C342" s="81" t="s">
        <v>20</v>
      </c>
      <c r="D342" s="81" t="s">
        <v>55</v>
      </c>
      <c r="E342" s="85" t="s">
        <v>398</v>
      </c>
      <c r="F342" s="81" t="s">
        <v>58</v>
      </c>
      <c r="G342" s="76" t="s">
        <v>67</v>
      </c>
      <c r="H342" s="129">
        <v>45953</v>
      </c>
      <c r="I342" s="129">
        <v>45954</v>
      </c>
      <c r="J342" s="113" t="s">
        <v>249</v>
      </c>
      <c r="K342" s="106">
        <v>1000000</v>
      </c>
      <c r="L342" s="106">
        <v>700000</v>
      </c>
      <c r="M342" s="106">
        <v>200000</v>
      </c>
      <c r="N342" s="106">
        <v>0</v>
      </c>
      <c r="O342" s="106">
        <v>0</v>
      </c>
      <c r="P342" s="106">
        <v>0</v>
      </c>
      <c r="Q342" s="106">
        <v>0</v>
      </c>
      <c r="R342" s="112">
        <f>SUM(K342-L342-L343-M342-M343)</f>
        <v>100000</v>
      </c>
    </row>
    <row r="343" spans="1:18" ht="14.25" customHeight="1">
      <c r="A343" s="77"/>
      <c r="B343" s="82"/>
      <c r="C343" s="82"/>
      <c r="D343" s="82"/>
      <c r="E343" s="86"/>
      <c r="F343" s="82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</row>
    <row r="344" spans="1:18" ht="14.25" customHeight="1">
      <c r="A344" s="76">
        <v>251000058</v>
      </c>
      <c r="B344" s="76" t="s">
        <v>152</v>
      </c>
      <c r="C344" s="76" t="s">
        <v>153</v>
      </c>
      <c r="D344" s="76" t="s">
        <v>152</v>
      </c>
      <c r="E344" s="76" t="s">
        <v>398</v>
      </c>
      <c r="F344" s="76" t="s">
        <v>58</v>
      </c>
      <c r="G344" s="76" t="s">
        <v>59</v>
      </c>
      <c r="H344" s="129">
        <v>45953</v>
      </c>
      <c r="I344" s="129">
        <v>45954</v>
      </c>
      <c r="J344" s="113" t="s">
        <v>227</v>
      </c>
      <c r="K344" s="106">
        <v>3950000</v>
      </c>
      <c r="L344" s="106">
        <v>1500000</v>
      </c>
      <c r="M344" s="106">
        <v>750000</v>
      </c>
      <c r="N344" s="106">
        <v>747000</v>
      </c>
      <c r="O344" s="106">
        <v>0</v>
      </c>
      <c r="P344" s="106">
        <v>150000</v>
      </c>
      <c r="Q344" s="106" t="s">
        <v>250</v>
      </c>
      <c r="R344" s="114">
        <f>SUM(K344-L344-M344-N344-O344-P344)</f>
        <v>803000</v>
      </c>
    </row>
    <row r="345" spans="1:18" ht="14.2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</row>
    <row r="346" spans="1:18" ht="14.25" customHeight="1">
      <c r="A346" s="10">
        <v>251001059</v>
      </c>
      <c r="B346" s="36" t="s">
        <v>373</v>
      </c>
      <c r="C346" s="10" t="s">
        <v>28</v>
      </c>
      <c r="D346" s="36" t="s">
        <v>192</v>
      </c>
      <c r="E346" s="10" t="s">
        <v>395</v>
      </c>
      <c r="F346" s="36" t="s">
        <v>25</v>
      </c>
      <c r="G346" s="36" t="s">
        <v>22</v>
      </c>
      <c r="H346" s="39">
        <v>45953</v>
      </c>
      <c r="I346" s="39">
        <v>45953</v>
      </c>
      <c r="J346" s="40" t="s">
        <v>251</v>
      </c>
      <c r="K346" s="23">
        <v>864001</v>
      </c>
      <c r="L346" s="23">
        <v>400000</v>
      </c>
      <c r="M346" s="23">
        <v>225000</v>
      </c>
      <c r="N346" s="23">
        <v>125000</v>
      </c>
      <c r="O346" s="23">
        <v>31000</v>
      </c>
      <c r="P346" s="23">
        <v>0</v>
      </c>
      <c r="Q346" s="23">
        <v>0</v>
      </c>
      <c r="R346" s="30">
        <f t="shared" ref="R346:R348" si="7">SUM(K346-L346-M346-N346-O346)</f>
        <v>83001</v>
      </c>
    </row>
    <row r="347" spans="1:18" ht="14.25" customHeight="1">
      <c r="A347" s="10">
        <v>251002059</v>
      </c>
      <c r="B347" s="36" t="s">
        <v>373</v>
      </c>
      <c r="C347" s="10" t="s">
        <v>28</v>
      </c>
      <c r="D347" s="36" t="s">
        <v>252</v>
      </c>
      <c r="E347" s="10" t="s">
        <v>395</v>
      </c>
      <c r="F347" s="36" t="s">
        <v>25</v>
      </c>
      <c r="G347" s="36" t="s">
        <v>253</v>
      </c>
      <c r="H347" s="39">
        <v>45953</v>
      </c>
      <c r="I347" s="39">
        <v>45953</v>
      </c>
      <c r="J347" s="40" t="s">
        <v>251</v>
      </c>
      <c r="K347" s="23">
        <v>864001</v>
      </c>
      <c r="L347" s="23">
        <v>400000</v>
      </c>
      <c r="M347" s="23">
        <v>225000</v>
      </c>
      <c r="N347" s="23">
        <v>168000</v>
      </c>
      <c r="O347" s="23">
        <v>53000</v>
      </c>
      <c r="P347" s="23">
        <v>0</v>
      </c>
      <c r="Q347" s="23">
        <v>0</v>
      </c>
      <c r="R347" s="30">
        <f t="shared" si="7"/>
        <v>18001</v>
      </c>
    </row>
    <row r="348" spans="1:18" ht="14.25" customHeight="1">
      <c r="A348" s="10">
        <v>251003059</v>
      </c>
      <c r="B348" s="36" t="s">
        <v>373</v>
      </c>
      <c r="C348" s="10" t="s">
        <v>28</v>
      </c>
      <c r="D348" s="36" t="s">
        <v>254</v>
      </c>
      <c r="E348" s="10" t="s">
        <v>395</v>
      </c>
      <c r="F348" s="36" t="s">
        <v>25</v>
      </c>
      <c r="G348" s="36" t="s">
        <v>30</v>
      </c>
      <c r="H348" s="39">
        <v>45953</v>
      </c>
      <c r="I348" s="39">
        <v>45953</v>
      </c>
      <c r="J348" s="40" t="s">
        <v>137</v>
      </c>
      <c r="K348" s="23">
        <v>864001</v>
      </c>
      <c r="L348" s="23">
        <v>375000</v>
      </c>
      <c r="M348" s="23">
        <v>225000</v>
      </c>
      <c r="N348" s="23">
        <v>100000</v>
      </c>
      <c r="O348" s="23">
        <v>109500</v>
      </c>
      <c r="P348" s="23">
        <v>0</v>
      </c>
      <c r="Q348" s="23">
        <v>0</v>
      </c>
      <c r="R348" s="30">
        <f t="shared" si="7"/>
        <v>54501</v>
      </c>
    </row>
    <row r="349" spans="1:18" ht="14.25" customHeight="1">
      <c r="A349" s="10">
        <v>251010060</v>
      </c>
      <c r="B349" s="10" t="s">
        <v>370</v>
      </c>
      <c r="C349" s="10" t="s">
        <v>15</v>
      </c>
      <c r="D349" s="10" t="s">
        <v>381</v>
      </c>
      <c r="E349" s="10" t="s">
        <v>395</v>
      </c>
      <c r="F349" s="10" t="s">
        <v>25</v>
      </c>
      <c r="G349" s="10" t="s">
        <v>36</v>
      </c>
      <c r="H349" s="11">
        <v>45954</v>
      </c>
      <c r="I349" s="11">
        <v>45954</v>
      </c>
      <c r="J349" s="41" t="s">
        <v>48</v>
      </c>
      <c r="K349" s="23">
        <v>900000</v>
      </c>
      <c r="L349" s="23">
        <v>400000</v>
      </c>
      <c r="M349" s="23">
        <v>225000</v>
      </c>
      <c r="N349" s="23">
        <v>175000</v>
      </c>
      <c r="O349" s="23">
        <v>189000</v>
      </c>
      <c r="P349" s="23">
        <v>0</v>
      </c>
      <c r="Q349" s="23">
        <v>0</v>
      </c>
      <c r="R349" s="30">
        <f t="shared" ref="R349:R351" si="8">SUM(K349-L349-M349-N349)</f>
        <v>100000</v>
      </c>
    </row>
    <row r="350" spans="1:18" ht="14.25" customHeight="1">
      <c r="A350" s="10">
        <v>251002060</v>
      </c>
      <c r="B350" s="10" t="s">
        <v>370</v>
      </c>
      <c r="C350" s="10" t="s">
        <v>15</v>
      </c>
      <c r="D350" s="10" t="s">
        <v>381</v>
      </c>
      <c r="E350" s="74" t="s">
        <v>398</v>
      </c>
      <c r="F350" s="10" t="s">
        <v>58</v>
      </c>
      <c r="G350" s="10" t="s">
        <v>130</v>
      </c>
      <c r="H350" s="35">
        <v>45954</v>
      </c>
      <c r="I350" s="11">
        <v>45954</v>
      </c>
      <c r="J350" s="41" t="s">
        <v>146</v>
      </c>
      <c r="K350" s="23">
        <v>650000</v>
      </c>
      <c r="L350" s="23">
        <v>350000</v>
      </c>
      <c r="M350" s="23">
        <v>125000</v>
      </c>
      <c r="N350" s="23">
        <v>130000</v>
      </c>
      <c r="O350" s="23">
        <v>31000</v>
      </c>
      <c r="P350" s="23">
        <v>0</v>
      </c>
      <c r="Q350" s="23">
        <v>0</v>
      </c>
      <c r="R350" s="30">
        <f t="shared" si="8"/>
        <v>45000</v>
      </c>
    </row>
    <row r="351" spans="1:18" ht="14.25" customHeight="1">
      <c r="A351" s="10">
        <v>251000061</v>
      </c>
      <c r="B351" s="10" t="s">
        <v>255</v>
      </c>
      <c r="C351" s="10" t="s">
        <v>256</v>
      </c>
      <c r="D351" s="10" t="s">
        <v>255</v>
      </c>
      <c r="E351" s="10" t="s">
        <v>395</v>
      </c>
      <c r="F351" s="10" t="s">
        <v>25</v>
      </c>
      <c r="G351" s="10" t="s">
        <v>17</v>
      </c>
      <c r="H351" s="35">
        <v>45955</v>
      </c>
      <c r="I351" s="35">
        <v>45955</v>
      </c>
      <c r="J351" s="41" t="s">
        <v>165</v>
      </c>
      <c r="K351" s="23">
        <v>1000000</v>
      </c>
      <c r="L351" s="23">
        <v>400000</v>
      </c>
      <c r="M351" s="23">
        <v>250000</v>
      </c>
      <c r="N351" s="23">
        <v>300000</v>
      </c>
      <c r="O351" s="23">
        <v>0</v>
      </c>
      <c r="P351" s="23">
        <v>0</v>
      </c>
      <c r="Q351" s="23">
        <v>0</v>
      </c>
      <c r="R351" s="30">
        <f t="shared" si="8"/>
        <v>50000</v>
      </c>
    </row>
    <row r="352" spans="1:18" ht="14.25" customHeight="1">
      <c r="A352" s="10">
        <v>251000062</v>
      </c>
      <c r="B352" s="10" t="s">
        <v>373</v>
      </c>
      <c r="C352" s="10" t="s">
        <v>28</v>
      </c>
      <c r="D352" s="10" t="s">
        <v>192</v>
      </c>
      <c r="E352" s="10" t="s">
        <v>395</v>
      </c>
      <c r="F352" s="10" t="s">
        <v>25</v>
      </c>
      <c r="G352" s="10" t="s">
        <v>36</v>
      </c>
      <c r="H352" s="35">
        <v>45955</v>
      </c>
      <c r="I352" s="35">
        <v>45955</v>
      </c>
      <c r="J352" s="41" t="s">
        <v>257</v>
      </c>
      <c r="K352" s="23">
        <v>864001</v>
      </c>
      <c r="L352" s="23">
        <v>375000</v>
      </c>
      <c r="M352" s="23">
        <v>225000</v>
      </c>
      <c r="N352" s="23">
        <v>113000</v>
      </c>
      <c r="O352" s="23">
        <v>44000</v>
      </c>
      <c r="P352" s="23">
        <v>0</v>
      </c>
      <c r="Q352" s="23">
        <v>0</v>
      </c>
      <c r="R352" s="30">
        <f t="shared" ref="R352:R354" si="9">SUM(K352-L352-M352-N352-O352)</f>
        <v>107001</v>
      </c>
    </row>
    <row r="353" spans="1:18" ht="14.25" customHeight="1">
      <c r="A353" s="10">
        <v>251000063</v>
      </c>
      <c r="B353" s="10" t="s">
        <v>373</v>
      </c>
      <c r="C353" s="10" t="s">
        <v>28</v>
      </c>
      <c r="D353" s="10" t="s">
        <v>385</v>
      </c>
      <c r="E353" s="10" t="s">
        <v>395</v>
      </c>
      <c r="F353" s="10" t="s">
        <v>25</v>
      </c>
      <c r="G353" s="10" t="s">
        <v>39</v>
      </c>
      <c r="H353" s="35">
        <v>45955</v>
      </c>
      <c r="I353" s="35">
        <v>45955</v>
      </c>
      <c r="J353" s="41" t="s">
        <v>257</v>
      </c>
      <c r="K353" s="23">
        <v>864001</v>
      </c>
      <c r="L353" s="23">
        <v>400000</v>
      </c>
      <c r="M353" s="23">
        <v>225000</v>
      </c>
      <c r="N353" s="23">
        <v>99000</v>
      </c>
      <c r="O353" s="23">
        <v>114000</v>
      </c>
      <c r="P353" s="23">
        <v>0</v>
      </c>
      <c r="Q353" s="23">
        <v>0</v>
      </c>
      <c r="R353" s="30">
        <f t="shared" si="9"/>
        <v>26001</v>
      </c>
    </row>
    <row r="354" spans="1:18" ht="14.25" customHeight="1">
      <c r="A354" s="10">
        <v>251000064</v>
      </c>
      <c r="B354" s="10" t="s">
        <v>241</v>
      </c>
      <c r="C354" s="10" t="s">
        <v>242</v>
      </c>
      <c r="D354" s="10" t="s">
        <v>241</v>
      </c>
      <c r="E354" s="10" t="s">
        <v>395</v>
      </c>
      <c r="F354" s="10" t="s">
        <v>25</v>
      </c>
      <c r="G354" s="10" t="s">
        <v>258</v>
      </c>
      <c r="H354" s="35">
        <v>45956</v>
      </c>
      <c r="I354" s="35">
        <v>45956</v>
      </c>
      <c r="J354" s="41" t="s">
        <v>27</v>
      </c>
      <c r="K354" s="23">
        <v>850000</v>
      </c>
      <c r="L354" s="23">
        <v>400000</v>
      </c>
      <c r="M354" s="23">
        <v>180000</v>
      </c>
      <c r="N354" s="23">
        <v>166000</v>
      </c>
      <c r="O354" s="23">
        <v>0</v>
      </c>
      <c r="P354" s="23">
        <v>0</v>
      </c>
      <c r="Q354" s="23">
        <v>0</v>
      </c>
      <c r="R354" s="30">
        <f t="shared" si="9"/>
        <v>104000</v>
      </c>
    </row>
    <row r="355" spans="1:18" ht="14.25" customHeight="1">
      <c r="A355" s="10">
        <v>251001065</v>
      </c>
      <c r="B355" s="10" t="s">
        <v>370</v>
      </c>
      <c r="C355" s="10" t="s">
        <v>15</v>
      </c>
      <c r="D355" s="10" t="s">
        <v>381</v>
      </c>
      <c r="E355" s="10" t="s">
        <v>395</v>
      </c>
      <c r="F355" s="10" t="s">
        <v>25</v>
      </c>
      <c r="G355" s="10" t="s">
        <v>17</v>
      </c>
      <c r="H355" s="35">
        <v>45958</v>
      </c>
      <c r="I355" s="35">
        <v>45958</v>
      </c>
      <c r="J355" s="41" t="s">
        <v>137</v>
      </c>
      <c r="K355" s="23">
        <v>900000</v>
      </c>
      <c r="L355" s="23">
        <v>400000</v>
      </c>
      <c r="M355" s="23">
        <v>275000</v>
      </c>
      <c r="N355" s="23">
        <v>150000</v>
      </c>
      <c r="O355" s="23">
        <v>153000</v>
      </c>
      <c r="P355" s="23">
        <v>0</v>
      </c>
      <c r="Q355" s="23">
        <v>0</v>
      </c>
      <c r="R355" s="30">
        <f t="shared" ref="R355:R357" si="10">SUM(K355-L355-M355-N355)</f>
        <v>75000</v>
      </c>
    </row>
    <row r="356" spans="1:18" ht="14.25" customHeight="1">
      <c r="A356" s="10">
        <v>251002065</v>
      </c>
      <c r="B356" s="10" t="s">
        <v>370</v>
      </c>
      <c r="C356" s="10" t="s">
        <v>15</v>
      </c>
      <c r="D356" s="10" t="s">
        <v>381</v>
      </c>
      <c r="E356" s="74" t="s">
        <v>398</v>
      </c>
      <c r="F356" s="38" t="s">
        <v>58</v>
      </c>
      <c r="G356" s="10" t="s">
        <v>17</v>
      </c>
      <c r="H356" s="35">
        <v>45958</v>
      </c>
      <c r="I356" s="35">
        <v>45958</v>
      </c>
      <c r="J356" s="41" t="s">
        <v>259</v>
      </c>
      <c r="K356" s="23">
        <v>650000</v>
      </c>
      <c r="L356" s="23">
        <v>350000</v>
      </c>
      <c r="M356" s="23">
        <v>175000</v>
      </c>
      <c r="N356" s="23">
        <v>0</v>
      </c>
      <c r="O356" s="23">
        <v>28000</v>
      </c>
      <c r="P356" s="23">
        <v>0</v>
      </c>
      <c r="Q356" s="23">
        <v>0</v>
      </c>
      <c r="R356" s="30">
        <f t="shared" si="10"/>
        <v>125000</v>
      </c>
    </row>
    <row r="357" spans="1:18" ht="14.25" customHeight="1">
      <c r="A357" s="10">
        <v>251003065</v>
      </c>
      <c r="B357" s="10" t="s">
        <v>370</v>
      </c>
      <c r="C357" s="10" t="s">
        <v>15</v>
      </c>
      <c r="D357" s="10" t="s">
        <v>381</v>
      </c>
      <c r="E357" s="74" t="s">
        <v>398</v>
      </c>
      <c r="F357" s="38" t="s">
        <v>58</v>
      </c>
      <c r="G357" s="10" t="s">
        <v>30</v>
      </c>
      <c r="H357" s="35">
        <v>45958</v>
      </c>
      <c r="I357" s="35">
        <v>45958</v>
      </c>
      <c r="J357" s="41" t="s">
        <v>259</v>
      </c>
      <c r="K357" s="23">
        <v>650000</v>
      </c>
      <c r="L357" s="23">
        <v>350000</v>
      </c>
      <c r="M357" s="23">
        <v>175000</v>
      </c>
      <c r="N357" s="23">
        <v>50000</v>
      </c>
      <c r="O357" s="23">
        <v>19000</v>
      </c>
      <c r="P357" s="23">
        <v>0</v>
      </c>
      <c r="Q357" s="23">
        <v>0</v>
      </c>
      <c r="R357" s="30">
        <f t="shared" si="10"/>
        <v>75000</v>
      </c>
    </row>
    <row r="358" spans="1:18" ht="14.25" customHeight="1">
      <c r="A358" s="76">
        <v>251000066</v>
      </c>
      <c r="B358" s="76" t="s">
        <v>19</v>
      </c>
      <c r="C358" s="76" t="s">
        <v>20</v>
      </c>
      <c r="D358" s="76" t="s">
        <v>21</v>
      </c>
      <c r="E358" s="76" t="s">
        <v>398</v>
      </c>
      <c r="F358" s="76" t="s">
        <v>58</v>
      </c>
      <c r="G358" s="76" t="s">
        <v>260</v>
      </c>
      <c r="H358" s="115">
        <v>45959</v>
      </c>
      <c r="I358" s="115">
        <v>45960</v>
      </c>
      <c r="J358" s="128" t="s">
        <v>119</v>
      </c>
      <c r="K358" s="106">
        <v>2450000</v>
      </c>
      <c r="L358" s="108">
        <v>1400000</v>
      </c>
      <c r="M358" s="108">
        <v>500000</v>
      </c>
      <c r="N358" s="106">
        <v>300000</v>
      </c>
      <c r="O358" s="106">
        <v>67500</v>
      </c>
      <c r="P358" s="106">
        <v>0</v>
      </c>
      <c r="Q358" s="106">
        <v>0</v>
      </c>
      <c r="R358" s="112">
        <f>SUM(K358-L358-L359-M358-M359-N358-O358)</f>
        <v>182500</v>
      </c>
    </row>
    <row r="359" spans="1:18" ht="14.2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</row>
    <row r="360" spans="1:18" ht="14.25" customHeight="1">
      <c r="A360" s="10">
        <v>251000067</v>
      </c>
      <c r="B360" s="42" t="s">
        <v>261</v>
      </c>
      <c r="C360" s="10" t="s">
        <v>262</v>
      </c>
      <c r="D360" s="42" t="s">
        <v>261</v>
      </c>
      <c r="E360" s="74" t="s">
        <v>398</v>
      </c>
      <c r="F360" s="36" t="s">
        <v>58</v>
      </c>
      <c r="G360" s="42" t="s">
        <v>67</v>
      </c>
      <c r="H360" s="35">
        <v>45957</v>
      </c>
      <c r="I360" s="35">
        <v>45957</v>
      </c>
      <c r="J360" s="41" t="s">
        <v>172</v>
      </c>
      <c r="K360" s="23">
        <v>1300000</v>
      </c>
      <c r="L360" s="23">
        <v>700000</v>
      </c>
      <c r="M360" s="23">
        <v>250000</v>
      </c>
      <c r="N360" s="23">
        <v>200000</v>
      </c>
      <c r="O360" s="23">
        <v>0</v>
      </c>
      <c r="P360" s="23">
        <v>0</v>
      </c>
      <c r="Q360" s="23">
        <v>0</v>
      </c>
      <c r="R360" s="30">
        <f>SUM(K360-L360-M360-N360)</f>
        <v>150000</v>
      </c>
    </row>
    <row r="361" spans="1:18" ht="14.25" customHeight="1">
      <c r="A361" s="10">
        <v>251000068</v>
      </c>
      <c r="B361" s="42" t="s">
        <v>263</v>
      </c>
      <c r="C361" s="10" t="s">
        <v>264</v>
      </c>
      <c r="D361" s="42" t="s">
        <v>263</v>
      </c>
      <c r="E361" s="10" t="s">
        <v>395</v>
      </c>
      <c r="F361" s="42" t="s">
        <v>25</v>
      </c>
      <c r="G361" s="42" t="s">
        <v>30</v>
      </c>
      <c r="H361" s="35">
        <v>45958</v>
      </c>
      <c r="I361" s="35">
        <v>45958</v>
      </c>
      <c r="J361" s="41" t="s">
        <v>265</v>
      </c>
      <c r="K361" s="23">
        <v>950000</v>
      </c>
      <c r="L361" s="23">
        <v>400000</v>
      </c>
      <c r="M361" s="23">
        <v>225000</v>
      </c>
      <c r="N361" s="23">
        <v>150000</v>
      </c>
      <c r="O361" s="23">
        <v>53000</v>
      </c>
      <c r="P361" s="23">
        <v>0</v>
      </c>
      <c r="Q361" s="23">
        <v>0</v>
      </c>
      <c r="R361" s="30">
        <f>SUM(K361-L361-M361-N361-O361)</f>
        <v>122000</v>
      </c>
    </row>
    <row r="362" spans="1:18" ht="14.25" customHeight="1">
      <c r="A362" s="76">
        <v>251000069</v>
      </c>
      <c r="B362" s="76" t="s">
        <v>131</v>
      </c>
      <c r="C362" s="76" t="s">
        <v>132</v>
      </c>
      <c r="D362" s="76" t="s">
        <v>131</v>
      </c>
      <c r="E362" s="76" t="s">
        <v>395</v>
      </c>
      <c r="F362" s="76" t="s">
        <v>25</v>
      </c>
      <c r="G362" s="76" t="s">
        <v>67</v>
      </c>
      <c r="H362" s="115">
        <v>45959</v>
      </c>
      <c r="I362" s="115">
        <v>45960</v>
      </c>
      <c r="J362" s="128" t="s">
        <v>27</v>
      </c>
      <c r="K362" s="106">
        <v>1449000</v>
      </c>
      <c r="L362" s="108">
        <v>800000</v>
      </c>
      <c r="M362" s="108">
        <v>360000</v>
      </c>
      <c r="N362" s="106">
        <v>50000</v>
      </c>
      <c r="O362" s="106">
        <v>84000</v>
      </c>
      <c r="P362" s="106">
        <v>0</v>
      </c>
      <c r="Q362" s="106">
        <v>0</v>
      </c>
      <c r="R362" s="112">
        <f>SUM(K362-L362-L363-M362-M363-N362-O362)</f>
        <v>155000</v>
      </c>
    </row>
    <row r="363" spans="1:18" ht="14.2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</row>
    <row r="364" spans="1:18" ht="14.25" customHeight="1">
      <c r="A364" s="76">
        <v>251001070</v>
      </c>
      <c r="B364" s="76" t="s">
        <v>266</v>
      </c>
      <c r="C364" s="76" t="s">
        <v>392</v>
      </c>
      <c r="D364" s="76" t="s">
        <v>266</v>
      </c>
      <c r="E364" s="76" t="s">
        <v>395</v>
      </c>
      <c r="F364" s="76" t="s">
        <v>25</v>
      </c>
      <c r="G364" s="76" t="s">
        <v>30</v>
      </c>
      <c r="H364" s="115">
        <v>45960</v>
      </c>
      <c r="I364" s="115">
        <v>45962</v>
      </c>
      <c r="J364" s="128" t="s">
        <v>27</v>
      </c>
      <c r="K364" s="106">
        <v>2820500</v>
      </c>
      <c r="L364" s="108">
        <v>1200000</v>
      </c>
      <c r="M364" s="108">
        <v>540000</v>
      </c>
      <c r="N364" s="106">
        <v>118000</v>
      </c>
      <c r="O364" s="106">
        <v>166000</v>
      </c>
      <c r="P364" s="106">
        <v>0</v>
      </c>
      <c r="Q364" s="106">
        <v>0</v>
      </c>
      <c r="R364" s="112">
        <f>SUM(K364-L364-L365-L366-M364-M365-M366-N364)</f>
        <v>962500</v>
      </c>
    </row>
    <row r="365" spans="1:18" ht="14.2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</row>
    <row r="366" spans="1:18" ht="14.2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8"/>
      <c r="K366" s="78"/>
      <c r="L366" s="77"/>
      <c r="M366" s="77"/>
      <c r="N366" s="77"/>
      <c r="O366" s="77"/>
      <c r="P366" s="77"/>
      <c r="Q366" s="77"/>
      <c r="R366" s="78"/>
    </row>
    <row r="367" spans="1:18" ht="14.25" customHeight="1">
      <c r="A367" s="76">
        <v>251002070</v>
      </c>
      <c r="B367" s="76" t="s">
        <v>266</v>
      </c>
      <c r="C367" s="76" t="s">
        <v>392</v>
      </c>
      <c r="D367" s="76" t="s">
        <v>266</v>
      </c>
      <c r="E367" s="76" t="s">
        <v>395</v>
      </c>
      <c r="F367" s="76" t="s">
        <v>25</v>
      </c>
      <c r="G367" s="76" t="s">
        <v>36</v>
      </c>
      <c r="H367" s="115">
        <v>45960</v>
      </c>
      <c r="I367" s="115">
        <v>45962</v>
      </c>
      <c r="J367" s="128" t="s">
        <v>27</v>
      </c>
      <c r="K367" s="106">
        <v>2820500</v>
      </c>
      <c r="L367" s="108">
        <v>1200000</v>
      </c>
      <c r="M367" s="108">
        <v>540000</v>
      </c>
      <c r="N367" s="106">
        <v>313000</v>
      </c>
      <c r="O367" s="106">
        <v>275000</v>
      </c>
      <c r="P367" s="106">
        <v>0</v>
      </c>
      <c r="Q367" s="106">
        <v>0</v>
      </c>
      <c r="R367" s="112">
        <f>SUM(K367-L367-L368-L369-M367-M368-M369-N367)</f>
        <v>767500</v>
      </c>
    </row>
    <row r="368" spans="1:18" ht="14.2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</row>
    <row r="369" spans="1:18" ht="14.2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8"/>
      <c r="K369" s="78"/>
      <c r="L369" s="77"/>
      <c r="M369" s="77"/>
      <c r="N369" s="77"/>
      <c r="O369" s="77"/>
      <c r="P369" s="77"/>
      <c r="Q369" s="77"/>
      <c r="R369" s="78"/>
    </row>
    <row r="370" spans="1:18" ht="14.25" customHeight="1">
      <c r="A370" s="76">
        <v>251000071</v>
      </c>
      <c r="B370" s="76" t="s">
        <v>19</v>
      </c>
      <c r="C370" s="76" t="s">
        <v>20</v>
      </c>
      <c r="D370" s="76" t="s">
        <v>268</v>
      </c>
      <c r="E370" s="76" t="s">
        <v>395</v>
      </c>
      <c r="F370" s="76" t="s">
        <v>25</v>
      </c>
      <c r="G370" s="76" t="s">
        <v>17</v>
      </c>
      <c r="H370" s="115">
        <v>45960</v>
      </c>
      <c r="I370" s="115">
        <v>45962</v>
      </c>
      <c r="J370" s="128" t="s">
        <v>54</v>
      </c>
      <c r="K370" s="106">
        <v>2239776</v>
      </c>
      <c r="L370" s="108">
        <v>1200000</v>
      </c>
      <c r="M370" s="108">
        <v>675000</v>
      </c>
      <c r="N370" s="106">
        <v>300000</v>
      </c>
      <c r="O370" s="106">
        <v>0</v>
      </c>
      <c r="P370" s="106">
        <v>0</v>
      </c>
      <c r="Q370" s="106">
        <v>0</v>
      </c>
      <c r="R370" s="112">
        <f>SUM(K370-L370-L371-L372-M370-M371-M372-N370)</f>
        <v>64776</v>
      </c>
    </row>
    <row r="371" spans="1:18" ht="14.2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</row>
    <row r="372" spans="1:18" ht="14.2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</row>
    <row r="373" spans="1:18" ht="14.25" customHeight="1">
      <c r="A373" s="76">
        <v>251000072</v>
      </c>
      <c r="B373" s="76" t="s">
        <v>370</v>
      </c>
      <c r="C373" s="76" t="s">
        <v>15</v>
      </c>
      <c r="D373" s="76" t="s">
        <v>379</v>
      </c>
      <c r="E373" s="76" t="s">
        <v>398</v>
      </c>
      <c r="F373" s="76" t="s">
        <v>58</v>
      </c>
      <c r="G373" s="76" t="s">
        <v>39</v>
      </c>
      <c r="H373" s="115">
        <v>45960</v>
      </c>
      <c r="I373" s="115">
        <v>45963</v>
      </c>
      <c r="J373" s="128" t="s">
        <v>269</v>
      </c>
      <c r="K373" s="106">
        <v>6000000</v>
      </c>
      <c r="L373" s="108">
        <v>2800000</v>
      </c>
      <c r="M373" s="108">
        <v>825000</v>
      </c>
      <c r="N373" s="106">
        <v>585000</v>
      </c>
      <c r="O373" s="106">
        <v>0</v>
      </c>
      <c r="P373" s="106">
        <v>0</v>
      </c>
      <c r="Q373" s="106">
        <v>0</v>
      </c>
      <c r="R373" s="112">
        <f>SUM(K373-L373-L374-L375-L376-M373-M374-M375-M376-N373)</f>
        <v>1790000</v>
      </c>
    </row>
    <row r="374" spans="1:18" ht="14.2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</row>
    <row r="375" spans="1:18" ht="14.2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</row>
    <row r="376" spans="1:18" ht="14.2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</row>
    <row r="377" spans="1:18" ht="14.25" customHeight="1">
      <c r="A377" s="10">
        <v>251000073</v>
      </c>
      <c r="B377" s="10" t="s">
        <v>370</v>
      </c>
      <c r="C377" s="10" t="s">
        <v>15</v>
      </c>
      <c r="D377" s="10" t="s">
        <v>381</v>
      </c>
      <c r="E377" s="10" t="s">
        <v>395</v>
      </c>
      <c r="F377" s="10" t="s">
        <v>25</v>
      </c>
      <c r="G377" s="10" t="s">
        <v>67</v>
      </c>
      <c r="H377" s="43">
        <v>45961</v>
      </c>
      <c r="I377" s="43">
        <v>45961</v>
      </c>
      <c r="J377" s="44" t="s">
        <v>165</v>
      </c>
      <c r="K377" s="31">
        <v>1250000</v>
      </c>
      <c r="L377" s="22">
        <v>400000</v>
      </c>
      <c r="M377" s="22">
        <v>250000</v>
      </c>
      <c r="N377" s="31">
        <v>250000</v>
      </c>
      <c r="O377" s="31">
        <v>231000</v>
      </c>
      <c r="P377" s="31">
        <v>50000</v>
      </c>
      <c r="Q377" s="31" t="s">
        <v>33</v>
      </c>
      <c r="R377" s="45">
        <f>SUM(K377-L377-M377-N377-O377-P377)</f>
        <v>69000</v>
      </c>
    </row>
    <row r="378" spans="1:18" ht="14.25" customHeight="1">
      <c r="A378" s="76">
        <v>251000074</v>
      </c>
      <c r="B378" s="76" t="s">
        <v>370</v>
      </c>
      <c r="C378" s="76" t="s">
        <v>15</v>
      </c>
      <c r="D378" s="76" t="s">
        <v>382</v>
      </c>
      <c r="E378" s="76" t="s">
        <v>395</v>
      </c>
      <c r="F378" s="76" t="s">
        <v>25</v>
      </c>
      <c r="G378" s="76" t="s">
        <v>22</v>
      </c>
      <c r="H378" s="115">
        <v>45961</v>
      </c>
      <c r="I378" s="115">
        <v>45962</v>
      </c>
      <c r="J378" s="128" t="s">
        <v>270</v>
      </c>
      <c r="K378" s="106">
        <v>1458000</v>
      </c>
      <c r="L378" s="108">
        <v>600000</v>
      </c>
      <c r="M378" s="108">
        <v>375000</v>
      </c>
      <c r="N378" s="106">
        <v>170000</v>
      </c>
      <c r="O378" s="106">
        <v>208500</v>
      </c>
      <c r="P378" s="106">
        <v>0</v>
      </c>
      <c r="Q378" s="106">
        <v>0</v>
      </c>
      <c r="R378" s="112">
        <f>SUM(K378-L378-L379-M378-M379-N378)</f>
        <v>313000</v>
      </c>
    </row>
    <row r="379" spans="1:18" ht="14.2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</row>
    <row r="380" spans="1:18" ht="14.25" customHeight="1">
      <c r="A380" s="10">
        <v>251000075</v>
      </c>
      <c r="B380" s="10" t="s">
        <v>373</v>
      </c>
      <c r="C380" s="10" t="s">
        <v>28</v>
      </c>
      <c r="D380" s="10" t="s">
        <v>271</v>
      </c>
      <c r="E380" s="10" t="s">
        <v>395</v>
      </c>
      <c r="F380" s="10" t="s">
        <v>25</v>
      </c>
      <c r="G380" s="10" t="s">
        <v>42</v>
      </c>
      <c r="H380" s="43">
        <v>45960</v>
      </c>
      <c r="I380" s="43">
        <v>45960</v>
      </c>
      <c r="J380" s="44" t="s">
        <v>143</v>
      </c>
      <c r="K380" s="31">
        <v>912001</v>
      </c>
      <c r="L380" s="22">
        <v>400000</v>
      </c>
      <c r="M380" s="22">
        <v>225000</v>
      </c>
      <c r="N380" s="31">
        <v>215000</v>
      </c>
      <c r="O380" s="31">
        <v>0</v>
      </c>
      <c r="P380" s="31">
        <v>0</v>
      </c>
      <c r="Q380" s="31">
        <v>0</v>
      </c>
      <c r="R380" s="45">
        <f t="shared" ref="R380:R381" si="11">SUM(K380-L380-M380-N380)</f>
        <v>72001</v>
      </c>
    </row>
    <row r="381" spans="1:18" ht="14.25" customHeight="1">
      <c r="A381" s="10">
        <v>251000076</v>
      </c>
      <c r="B381" s="10" t="s">
        <v>373</v>
      </c>
      <c r="C381" s="10" t="s">
        <v>28</v>
      </c>
      <c r="D381" s="10" t="s">
        <v>373</v>
      </c>
      <c r="E381" s="10" t="s">
        <v>395</v>
      </c>
      <c r="F381" s="10" t="s">
        <v>25</v>
      </c>
      <c r="G381" s="10" t="s">
        <v>59</v>
      </c>
      <c r="H381" s="43">
        <v>45961</v>
      </c>
      <c r="I381" s="43">
        <v>45961</v>
      </c>
      <c r="J381" s="44" t="s">
        <v>79</v>
      </c>
      <c r="K381" s="31">
        <v>864001</v>
      </c>
      <c r="L381" s="22">
        <v>400000</v>
      </c>
      <c r="M381" s="22">
        <v>225000</v>
      </c>
      <c r="N381" s="31">
        <v>150000</v>
      </c>
      <c r="O381" s="31">
        <v>0</v>
      </c>
      <c r="P381" s="31">
        <v>0</v>
      </c>
      <c r="Q381" s="31">
        <v>0</v>
      </c>
      <c r="R381" s="45">
        <f t="shared" si="11"/>
        <v>89001</v>
      </c>
    </row>
    <row r="382" spans="1:18" ht="14.25" customHeight="1">
      <c r="A382" s="76">
        <v>250800000</v>
      </c>
      <c r="B382" s="76" t="s">
        <v>373</v>
      </c>
      <c r="C382" s="76" t="s">
        <v>28</v>
      </c>
      <c r="D382" s="76" t="s">
        <v>247</v>
      </c>
      <c r="E382" s="76" t="s">
        <v>394</v>
      </c>
      <c r="F382" s="76" t="s">
        <v>16</v>
      </c>
      <c r="G382" s="76" t="s">
        <v>39</v>
      </c>
      <c r="H382" s="92">
        <v>45870</v>
      </c>
      <c r="I382" s="92">
        <v>45871</v>
      </c>
      <c r="J382" s="113" t="s">
        <v>272</v>
      </c>
      <c r="K382" s="117">
        <v>3264000</v>
      </c>
      <c r="L382" s="126">
        <v>800000</v>
      </c>
      <c r="M382" s="126">
        <v>360000</v>
      </c>
      <c r="N382" s="117">
        <v>130000</v>
      </c>
      <c r="O382" s="117">
        <v>9000</v>
      </c>
      <c r="P382" s="117">
        <v>0</v>
      </c>
      <c r="Q382" s="117">
        <v>0</v>
      </c>
      <c r="R382" s="125">
        <f>SUM(K382-L382-L383-M382-M383-N382-O382)</f>
        <v>1965000</v>
      </c>
    </row>
    <row r="383" spans="1:18" ht="14.2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</row>
    <row r="384" spans="1:18" ht="14.25" customHeight="1">
      <c r="A384" s="76">
        <v>250800001</v>
      </c>
      <c r="B384" s="76" t="s">
        <v>373</v>
      </c>
      <c r="C384" s="76" t="s">
        <v>28</v>
      </c>
      <c r="D384" s="76" t="s">
        <v>142</v>
      </c>
      <c r="E384" s="76" t="s">
        <v>394</v>
      </c>
      <c r="F384" s="76" t="s">
        <v>16</v>
      </c>
      <c r="G384" s="76" t="s">
        <v>22</v>
      </c>
      <c r="H384" s="92">
        <v>45870</v>
      </c>
      <c r="I384" s="92">
        <v>45871</v>
      </c>
      <c r="J384" s="113" t="s">
        <v>272</v>
      </c>
      <c r="K384" s="117">
        <v>3264001</v>
      </c>
      <c r="L384" s="126">
        <v>800000</v>
      </c>
      <c r="M384" s="126">
        <v>360001</v>
      </c>
      <c r="N384" s="117">
        <v>170000</v>
      </c>
      <c r="O384" s="117">
        <v>0</v>
      </c>
      <c r="P384" s="117">
        <v>0</v>
      </c>
      <c r="Q384" s="117">
        <v>0</v>
      </c>
      <c r="R384" s="125">
        <f>SUM(K384-L384-L385-M384-M385-N384)</f>
        <v>1934000</v>
      </c>
    </row>
    <row r="385" spans="1:18" ht="14.2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</row>
    <row r="386" spans="1:18" ht="14.25" customHeight="1">
      <c r="A386" s="76">
        <v>250800002</v>
      </c>
      <c r="B386" s="76" t="s">
        <v>373</v>
      </c>
      <c r="C386" s="76" t="s">
        <v>28</v>
      </c>
      <c r="D386" s="76" t="s">
        <v>252</v>
      </c>
      <c r="E386" s="76" t="s">
        <v>394</v>
      </c>
      <c r="F386" s="76" t="s">
        <v>16</v>
      </c>
      <c r="G386" s="76" t="s">
        <v>17</v>
      </c>
      <c r="H386" s="92">
        <v>45870</v>
      </c>
      <c r="I386" s="92">
        <v>45871</v>
      </c>
      <c r="J386" s="113" t="s">
        <v>273</v>
      </c>
      <c r="K386" s="117">
        <v>1728001</v>
      </c>
      <c r="L386" s="126">
        <v>750000</v>
      </c>
      <c r="M386" s="126">
        <v>450000</v>
      </c>
      <c r="N386" s="117">
        <v>274000</v>
      </c>
      <c r="O386" s="117">
        <v>0</v>
      </c>
      <c r="P386" s="117">
        <v>0</v>
      </c>
      <c r="Q386" s="117">
        <v>0</v>
      </c>
      <c r="R386" s="125">
        <f>SUM(K386-L386-L387-M386-M387-N386)</f>
        <v>254001</v>
      </c>
    </row>
    <row r="387" spans="1:18" ht="14.2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</row>
    <row r="388" spans="1:18" ht="14.25" customHeight="1">
      <c r="A388" s="10">
        <v>250800003</v>
      </c>
      <c r="B388" s="10" t="s">
        <v>373</v>
      </c>
      <c r="C388" s="10" t="s">
        <v>28</v>
      </c>
      <c r="D388" s="10" t="s">
        <v>29</v>
      </c>
      <c r="E388" s="10" t="s">
        <v>394</v>
      </c>
      <c r="F388" s="10" t="s">
        <v>16</v>
      </c>
      <c r="G388" s="10" t="s">
        <v>183</v>
      </c>
      <c r="H388" s="11">
        <v>45870</v>
      </c>
      <c r="I388" s="11">
        <v>45870</v>
      </c>
      <c r="J388" s="12" t="s">
        <v>272</v>
      </c>
      <c r="K388" s="13">
        <v>816001</v>
      </c>
      <c r="L388" s="13">
        <v>375000</v>
      </c>
      <c r="M388" s="18">
        <v>180000</v>
      </c>
      <c r="N388" s="13">
        <v>60000</v>
      </c>
      <c r="O388" s="13">
        <v>0</v>
      </c>
      <c r="P388" s="13">
        <v>0</v>
      </c>
      <c r="Q388" s="13">
        <v>0</v>
      </c>
      <c r="R388" s="14">
        <f>SUM(K388-L388-M388-N388)</f>
        <v>201001</v>
      </c>
    </row>
    <row r="389" spans="1:18" ht="14.25" customHeight="1">
      <c r="A389" s="10">
        <v>250800004</v>
      </c>
      <c r="B389" s="10" t="s">
        <v>370</v>
      </c>
      <c r="C389" s="10" t="s">
        <v>15</v>
      </c>
      <c r="D389" s="10" t="s">
        <v>381</v>
      </c>
      <c r="E389" s="10" t="s">
        <v>394</v>
      </c>
      <c r="F389" s="10" t="s">
        <v>16</v>
      </c>
      <c r="G389" s="10" t="s">
        <v>67</v>
      </c>
      <c r="H389" s="11">
        <v>45870</v>
      </c>
      <c r="I389" s="11">
        <v>45870</v>
      </c>
      <c r="J389" s="12" t="s">
        <v>27</v>
      </c>
      <c r="K389" s="13">
        <v>897000</v>
      </c>
      <c r="L389" s="13">
        <v>375000</v>
      </c>
      <c r="M389" s="18">
        <v>180000</v>
      </c>
      <c r="N389" s="13">
        <v>50000</v>
      </c>
      <c r="O389" s="13">
        <v>97000</v>
      </c>
      <c r="P389" s="13">
        <v>0</v>
      </c>
      <c r="Q389" s="13">
        <v>0</v>
      </c>
      <c r="R389" s="24">
        <f t="shared" ref="R389:R390" si="12">SUM(K389-L389-M389-N389-O389-P389)</f>
        <v>195000</v>
      </c>
    </row>
    <row r="390" spans="1:18" ht="14.25" customHeight="1">
      <c r="A390" s="10">
        <v>250800005</v>
      </c>
      <c r="B390" s="10" t="s">
        <v>373</v>
      </c>
      <c r="C390" s="10" t="s">
        <v>28</v>
      </c>
      <c r="D390" s="10" t="s">
        <v>274</v>
      </c>
      <c r="E390" s="10" t="s">
        <v>394</v>
      </c>
      <c r="F390" s="10" t="s">
        <v>16</v>
      </c>
      <c r="G390" s="10" t="s">
        <v>190</v>
      </c>
      <c r="H390" s="35">
        <v>45870</v>
      </c>
      <c r="I390" s="11">
        <v>45870</v>
      </c>
      <c r="J390" s="12" t="s">
        <v>275</v>
      </c>
      <c r="K390" s="13">
        <v>816000</v>
      </c>
      <c r="L390" s="13">
        <v>375000</v>
      </c>
      <c r="M390" s="18">
        <v>200000</v>
      </c>
      <c r="N390" s="13">
        <v>100000</v>
      </c>
      <c r="O390" s="13">
        <v>18000</v>
      </c>
      <c r="P390" s="13">
        <v>0</v>
      </c>
      <c r="Q390" s="13">
        <v>0</v>
      </c>
      <c r="R390" s="24">
        <f t="shared" si="12"/>
        <v>123000</v>
      </c>
    </row>
    <row r="391" spans="1:18" ht="14.25" customHeight="1">
      <c r="A391" s="76">
        <v>250800006</v>
      </c>
      <c r="B391" s="76" t="s">
        <v>370</v>
      </c>
      <c r="C391" s="76" t="s">
        <v>15</v>
      </c>
      <c r="D391" s="76" t="s">
        <v>382</v>
      </c>
      <c r="E391" s="76" t="s">
        <v>396</v>
      </c>
      <c r="F391" s="76" t="s">
        <v>38</v>
      </c>
      <c r="G391" s="76" t="s">
        <v>276</v>
      </c>
      <c r="H391" s="92">
        <v>45870</v>
      </c>
      <c r="I391" s="92">
        <v>45876</v>
      </c>
      <c r="J391" s="113" t="s">
        <v>277</v>
      </c>
      <c r="K391" s="117">
        <v>7450000</v>
      </c>
      <c r="L391" s="126">
        <v>4350000</v>
      </c>
      <c r="M391" s="117">
        <v>1325000</v>
      </c>
      <c r="N391" s="117">
        <v>1108000</v>
      </c>
      <c r="O391" s="117">
        <v>0</v>
      </c>
      <c r="P391" s="117">
        <v>450000</v>
      </c>
      <c r="Q391" s="117" t="s">
        <v>278</v>
      </c>
      <c r="R391" s="125">
        <f>SUM(K391-L391-L392-L393-L394-L395-L396-M391-M392-M393-M394-M395-M396-N391-P391)</f>
        <v>217000</v>
      </c>
    </row>
    <row r="392" spans="1:18" ht="14.2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</row>
    <row r="393" spans="1:18" ht="14.2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</row>
    <row r="394" spans="1:18" ht="14.2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</row>
    <row r="395" spans="1:18" ht="14.2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</row>
    <row r="396" spans="1:18" ht="14.2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</row>
    <row r="397" spans="1:18" ht="14.25" customHeight="1">
      <c r="A397" s="76">
        <v>250800009</v>
      </c>
      <c r="B397" s="76" t="s">
        <v>19</v>
      </c>
      <c r="C397" s="76" t="s">
        <v>20</v>
      </c>
      <c r="D397" s="76" t="s">
        <v>243</v>
      </c>
      <c r="E397" s="76" t="s">
        <v>396</v>
      </c>
      <c r="F397" s="76" t="s">
        <v>38</v>
      </c>
      <c r="G397" s="76" t="s">
        <v>36</v>
      </c>
      <c r="H397" s="92">
        <v>45870</v>
      </c>
      <c r="I397" s="92">
        <v>45872</v>
      </c>
      <c r="J397" s="113" t="s">
        <v>279</v>
      </c>
      <c r="K397" s="117">
        <v>3600000</v>
      </c>
      <c r="L397" s="117">
        <v>2100000</v>
      </c>
      <c r="M397" s="117">
        <v>700000</v>
      </c>
      <c r="N397" s="117">
        <v>375000</v>
      </c>
      <c r="O397" s="117">
        <v>43000</v>
      </c>
      <c r="P397" s="117">
        <v>27000</v>
      </c>
      <c r="Q397" s="117" t="s">
        <v>280</v>
      </c>
      <c r="R397" s="125">
        <f>SUM(K397-L397-L398-L399-M397-M398-M399-N397-O397-P397)</f>
        <v>355000</v>
      </c>
    </row>
    <row r="398" spans="1:18" ht="14.2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</row>
    <row r="399" spans="1:18" ht="14.2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</row>
    <row r="400" spans="1:18" ht="14.25" customHeight="1">
      <c r="A400" s="76">
        <v>250800010</v>
      </c>
      <c r="B400" s="76" t="s">
        <v>65</v>
      </c>
      <c r="C400" s="76" t="s">
        <v>66</v>
      </c>
      <c r="D400" s="76" t="s">
        <v>207</v>
      </c>
      <c r="E400" s="76" t="s">
        <v>404</v>
      </c>
      <c r="F400" s="76" t="s">
        <v>106</v>
      </c>
      <c r="G400" s="76" t="s">
        <v>166</v>
      </c>
      <c r="H400" s="115">
        <v>45871</v>
      </c>
      <c r="I400" s="115">
        <v>45873</v>
      </c>
      <c r="J400" s="113" t="s">
        <v>281</v>
      </c>
      <c r="K400" s="117">
        <v>4000000</v>
      </c>
      <c r="L400" s="117">
        <v>750000</v>
      </c>
      <c r="M400" s="117">
        <v>900000</v>
      </c>
      <c r="N400" s="117">
        <v>575000</v>
      </c>
      <c r="O400" s="117">
        <v>0</v>
      </c>
      <c r="P400" s="117">
        <v>0</v>
      </c>
      <c r="Q400" s="117">
        <v>0</v>
      </c>
      <c r="R400" s="125">
        <f>SUM(K400-L400-L401-L402-M400-M401-M402-M403-N400)</f>
        <v>1775000</v>
      </c>
    </row>
    <row r="401" spans="1:18" ht="14.2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</row>
    <row r="402" spans="1:18" ht="14.2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</row>
    <row r="403" spans="1:18" ht="14.2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</row>
    <row r="404" spans="1:18" ht="14.25" customHeight="1">
      <c r="A404" s="10">
        <v>250800011</v>
      </c>
      <c r="B404" s="10" t="s">
        <v>135</v>
      </c>
      <c r="C404" s="46" t="s">
        <v>136</v>
      </c>
      <c r="D404" s="10" t="s">
        <v>135</v>
      </c>
      <c r="E404" s="74" t="s">
        <v>398</v>
      </c>
      <c r="F404" s="10" t="s">
        <v>58</v>
      </c>
      <c r="G404" s="10" t="s">
        <v>30</v>
      </c>
      <c r="H404" s="11">
        <v>45871</v>
      </c>
      <c r="I404" s="11">
        <v>45871</v>
      </c>
      <c r="J404" s="12" t="s">
        <v>27</v>
      </c>
      <c r="K404" s="13">
        <v>1025000</v>
      </c>
      <c r="L404" s="13">
        <v>600000</v>
      </c>
      <c r="M404" s="18">
        <v>200000</v>
      </c>
      <c r="N404" s="13">
        <v>75000</v>
      </c>
      <c r="O404" s="13">
        <v>50000</v>
      </c>
      <c r="P404" s="13">
        <v>0</v>
      </c>
      <c r="Q404" s="13">
        <v>0</v>
      </c>
      <c r="R404" s="24">
        <f>SUM(K404-L404-M404-N404-O404-P404)</f>
        <v>100000</v>
      </c>
    </row>
    <row r="405" spans="1:18" ht="14.25" customHeight="1">
      <c r="A405" s="10">
        <v>250800012</v>
      </c>
      <c r="B405" s="10" t="s">
        <v>135</v>
      </c>
      <c r="C405" s="46" t="s">
        <v>136</v>
      </c>
      <c r="D405" s="10" t="s">
        <v>135</v>
      </c>
      <c r="E405" s="74" t="s">
        <v>405</v>
      </c>
      <c r="F405" s="10" t="s">
        <v>178</v>
      </c>
      <c r="G405" s="10" t="s">
        <v>282</v>
      </c>
      <c r="H405" s="11">
        <v>45871</v>
      </c>
      <c r="I405" s="11">
        <v>45871</v>
      </c>
      <c r="J405" s="12" t="s">
        <v>27</v>
      </c>
      <c r="K405" s="18">
        <v>1275000</v>
      </c>
      <c r="L405" s="18">
        <v>700000</v>
      </c>
      <c r="M405" s="18">
        <v>200000</v>
      </c>
      <c r="N405" s="18">
        <v>75000</v>
      </c>
      <c r="O405" s="18"/>
      <c r="P405" s="18"/>
      <c r="Q405" s="18"/>
      <c r="R405" s="14">
        <f>SUM(K405-L405-M405-N405)</f>
        <v>300000</v>
      </c>
    </row>
    <row r="406" spans="1:18" ht="14.25" customHeight="1">
      <c r="A406" s="76">
        <v>250800013</v>
      </c>
      <c r="B406" s="76" t="s">
        <v>65</v>
      </c>
      <c r="C406" s="76" t="s">
        <v>66</v>
      </c>
      <c r="D406" s="76" t="s">
        <v>207</v>
      </c>
      <c r="E406" s="76" t="s">
        <v>394</v>
      </c>
      <c r="F406" s="76" t="s">
        <v>16</v>
      </c>
      <c r="G406" s="76" t="s">
        <v>30</v>
      </c>
      <c r="H406" s="115">
        <v>45873</v>
      </c>
      <c r="I406" s="115">
        <v>45874</v>
      </c>
      <c r="J406" s="113" t="s">
        <v>103</v>
      </c>
      <c r="K406" s="117">
        <v>750000</v>
      </c>
      <c r="L406" s="106">
        <v>400000</v>
      </c>
      <c r="M406" s="106">
        <v>200000</v>
      </c>
      <c r="N406" s="117">
        <v>0</v>
      </c>
      <c r="O406" s="117">
        <v>80000</v>
      </c>
      <c r="P406" s="117">
        <v>0</v>
      </c>
      <c r="Q406" s="117">
        <v>0</v>
      </c>
      <c r="R406" s="114">
        <f>SUM(K406-L406-M406-N406-O406-P406)</f>
        <v>70000</v>
      </c>
    </row>
    <row r="407" spans="1:18" ht="14.2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</row>
    <row r="408" spans="1:18" ht="14.25" customHeight="1">
      <c r="A408" s="76">
        <v>250800014</v>
      </c>
      <c r="B408" s="76" t="s">
        <v>74</v>
      </c>
      <c r="C408" s="90" t="s">
        <v>267</v>
      </c>
      <c r="D408" s="76" t="s">
        <v>74</v>
      </c>
      <c r="E408" s="76" t="s">
        <v>394</v>
      </c>
      <c r="F408" s="76" t="s">
        <v>16</v>
      </c>
      <c r="G408" s="76" t="s">
        <v>74</v>
      </c>
      <c r="H408" s="92">
        <v>45873</v>
      </c>
      <c r="I408" s="115">
        <v>45874</v>
      </c>
      <c r="J408" s="124" t="s">
        <v>283</v>
      </c>
      <c r="K408" s="106"/>
      <c r="L408" s="108">
        <v>800000</v>
      </c>
      <c r="M408" s="118" t="s">
        <v>284</v>
      </c>
      <c r="N408" s="119"/>
      <c r="O408" s="119"/>
      <c r="P408" s="119"/>
      <c r="Q408" s="120"/>
      <c r="R408" s="112"/>
    </row>
    <row r="409" spans="1:18" ht="14.2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121"/>
      <c r="N409" s="122"/>
      <c r="O409" s="122"/>
      <c r="P409" s="122"/>
      <c r="Q409" s="123"/>
      <c r="R409" s="77"/>
    </row>
    <row r="410" spans="1:18" ht="14.25" customHeight="1">
      <c r="A410" s="76">
        <v>250800015</v>
      </c>
      <c r="B410" s="76" t="s">
        <v>19</v>
      </c>
      <c r="C410" s="90" t="s">
        <v>20</v>
      </c>
      <c r="D410" s="76" t="s">
        <v>112</v>
      </c>
      <c r="E410" s="76" t="s">
        <v>394</v>
      </c>
      <c r="F410" s="76" t="s">
        <v>16</v>
      </c>
      <c r="G410" s="76" t="s">
        <v>30</v>
      </c>
      <c r="H410" s="92">
        <v>45874</v>
      </c>
      <c r="I410" s="92">
        <v>45876</v>
      </c>
      <c r="J410" s="113" t="s">
        <v>285</v>
      </c>
      <c r="K410" s="106">
        <v>3631890</v>
      </c>
      <c r="L410" s="106">
        <v>950000</v>
      </c>
      <c r="M410" s="108">
        <v>600000</v>
      </c>
      <c r="N410" s="106">
        <v>450000</v>
      </c>
      <c r="O410" s="106">
        <v>0</v>
      </c>
      <c r="P410" s="106">
        <v>0</v>
      </c>
      <c r="Q410" s="106">
        <v>0</v>
      </c>
      <c r="R410" s="112">
        <f>SUM(K410-L410-L411-L412-M410-M411-M412-N410)</f>
        <v>1631890</v>
      </c>
    </row>
    <row r="411" spans="1:18" ht="14.2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</row>
    <row r="412" spans="1:18" ht="14.2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</row>
    <row r="413" spans="1:18" ht="14.25" customHeight="1">
      <c r="A413" s="10">
        <v>250800016</v>
      </c>
      <c r="B413" s="10" t="s">
        <v>373</v>
      </c>
      <c r="C413" s="36" t="s">
        <v>28</v>
      </c>
      <c r="D413" s="10" t="s">
        <v>373</v>
      </c>
      <c r="E413" s="10" t="s">
        <v>394</v>
      </c>
      <c r="F413" s="10" t="s">
        <v>16</v>
      </c>
      <c r="G413" s="10" t="s">
        <v>17</v>
      </c>
      <c r="H413" s="11">
        <v>45874</v>
      </c>
      <c r="I413" s="11"/>
      <c r="J413" s="12" t="s">
        <v>240</v>
      </c>
      <c r="K413" s="22">
        <v>864001</v>
      </c>
      <c r="L413" s="23">
        <v>375000</v>
      </c>
      <c r="M413" s="23">
        <v>225000</v>
      </c>
      <c r="N413" s="22">
        <v>200000</v>
      </c>
      <c r="O413" s="13">
        <v>0</v>
      </c>
      <c r="P413" s="13">
        <v>0</v>
      </c>
      <c r="Q413" s="13">
        <v>0</v>
      </c>
      <c r="R413" s="24">
        <f>SUM(K413-L413-M413-N413)</f>
        <v>64001</v>
      </c>
    </row>
    <row r="414" spans="1:18" ht="14.25" customHeight="1">
      <c r="A414" s="76">
        <v>250800017</v>
      </c>
      <c r="B414" s="76" t="s">
        <v>19</v>
      </c>
      <c r="C414" s="90" t="s">
        <v>20</v>
      </c>
      <c r="D414" s="76" t="s">
        <v>49</v>
      </c>
      <c r="E414" s="76" t="s">
        <v>398</v>
      </c>
      <c r="F414" s="76" t="s">
        <v>58</v>
      </c>
      <c r="G414" s="76" t="s">
        <v>22</v>
      </c>
      <c r="H414" s="92">
        <v>45874</v>
      </c>
      <c r="I414" s="92">
        <v>45877</v>
      </c>
      <c r="J414" s="113" t="s">
        <v>286</v>
      </c>
      <c r="K414" s="106">
        <v>5867683</v>
      </c>
      <c r="L414" s="106">
        <v>1800000</v>
      </c>
      <c r="M414" s="106">
        <v>800000</v>
      </c>
      <c r="N414" s="106">
        <v>295000</v>
      </c>
      <c r="O414" s="106">
        <v>0</v>
      </c>
      <c r="P414" s="106">
        <v>0</v>
      </c>
      <c r="Q414" s="106">
        <v>0</v>
      </c>
      <c r="R414" s="112">
        <f>SUM(K414-L414-L415-L416-M414-M415-M416-N414)</f>
        <v>2972683</v>
      </c>
    </row>
    <row r="415" spans="1:18" ht="14.2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</row>
    <row r="416" spans="1:18" ht="14.2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</row>
    <row r="417" spans="1:18" ht="14.25" customHeight="1">
      <c r="A417" s="76">
        <v>250800018</v>
      </c>
      <c r="B417" s="76" t="s">
        <v>373</v>
      </c>
      <c r="C417" s="90" t="s">
        <v>28</v>
      </c>
      <c r="D417" s="76" t="s">
        <v>373</v>
      </c>
      <c r="E417" s="76" t="s">
        <v>394</v>
      </c>
      <c r="F417" s="76" t="s">
        <v>16</v>
      </c>
      <c r="G417" s="76" t="s">
        <v>17</v>
      </c>
      <c r="H417" s="115">
        <v>45875</v>
      </c>
      <c r="I417" s="115">
        <v>45876</v>
      </c>
      <c r="J417" s="113" t="s">
        <v>165</v>
      </c>
      <c r="K417" s="106">
        <v>1920001</v>
      </c>
      <c r="L417" s="106">
        <v>800000</v>
      </c>
      <c r="M417" s="106">
        <v>500000</v>
      </c>
      <c r="N417" s="106">
        <v>300000</v>
      </c>
      <c r="O417" s="117">
        <v>0</v>
      </c>
      <c r="P417" s="117">
        <v>0</v>
      </c>
      <c r="Q417" s="117">
        <v>0</v>
      </c>
      <c r="R417" s="112">
        <f>SUM(K417-L417-L418-M417-M418-N417)</f>
        <v>320001</v>
      </c>
    </row>
    <row r="418" spans="1:18" ht="14.2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</row>
    <row r="419" spans="1:18" ht="14.25" customHeight="1">
      <c r="A419" s="76">
        <v>250800019</v>
      </c>
      <c r="B419" s="76" t="s">
        <v>370</v>
      </c>
      <c r="C419" s="76" t="s">
        <v>15</v>
      </c>
      <c r="D419" s="76" t="s">
        <v>382</v>
      </c>
      <c r="E419" s="76" t="s">
        <v>394</v>
      </c>
      <c r="F419" s="76" t="s">
        <v>16</v>
      </c>
      <c r="G419" s="76" t="s">
        <v>39</v>
      </c>
      <c r="H419" s="115">
        <v>45875</v>
      </c>
      <c r="I419" s="115">
        <v>45876</v>
      </c>
      <c r="J419" s="113" t="s">
        <v>175</v>
      </c>
      <c r="K419" s="106">
        <v>2750000</v>
      </c>
      <c r="L419" s="106">
        <v>900000</v>
      </c>
      <c r="M419" s="106">
        <v>600000</v>
      </c>
      <c r="N419" s="106">
        <v>350000</v>
      </c>
      <c r="O419" s="106">
        <v>0</v>
      </c>
      <c r="P419" s="106">
        <v>250000</v>
      </c>
      <c r="Q419" s="106">
        <v>0</v>
      </c>
      <c r="R419" s="112">
        <f>SUM(K419-L419-L420-M419-M420-N419-P419)</f>
        <v>650000</v>
      </c>
    </row>
    <row r="420" spans="1:18" ht="14.2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</row>
    <row r="421" spans="1:18" ht="14.25" customHeight="1">
      <c r="A421" s="10">
        <v>250800020</v>
      </c>
      <c r="B421" s="10" t="s">
        <v>370</v>
      </c>
      <c r="C421" s="10" t="s">
        <v>15</v>
      </c>
      <c r="D421" s="10" t="s">
        <v>382</v>
      </c>
      <c r="E421" s="74" t="s">
        <v>398</v>
      </c>
      <c r="F421" s="10" t="s">
        <v>58</v>
      </c>
      <c r="G421" s="10" t="s">
        <v>67</v>
      </c>
      <c r="H421" s="11">
        <v>45874</v>
      </c>
      <c r="I421" s="11">
        <v>45874</v>
      </c>
      <c r="J421" s="12" t="s">
        <v>287</v>
      </c>
      <c r="K421" s="25">
        <v>1650000</v>
      </c>
      <c r="L421" s="23">
        <v>600000</v>
      </c>
      <c r="M421" s="23">
        <v>250000</v>
      </c>
      <c r="N421" s="25">
        <v>0</v>
      </c>
      <c r="O421" s="25">
        <v>28000</v>
      </c>
      <c r="P421" s="25">
        <v>50000</v>
      </c>
      <c r="Q421" s="25" t="s">
        <v>33</v>
      </c>
      <c r="R421" s="24">
        <f t="shared" ref="R421:R429" si="13">SUM(K421-L421-M421-N421-O421-P421)</f>
        <v>722000</v>
      </c>
    </row>
    <row r="422" spans="1:18" ht="14.25" customHeight="1">
      <c r="A422" s="10">
        <v>250800021</v>
      </c>
      <c r="B422" s="10" t="s">
        <v>370</v>
      </c>
      <c r="C422" s="10" t="s">
        <v>15</v>
      </c>
      <c r="D422" s="10" t="s">
        <v>381</v>
      </c>
      <c r="E422" s="74" t="s">
        <v>398</v>
      </c>
      <c r="F422" s="10" t="s">
        <v>58</v>
      </c>
      <c r="G422" s="10" t="s">
        <v>67</v>
      </c>
      <c r="H422" s="11">
        <v>45875</v>
      </c>
      <c r="I422" s="11">
        <v>45875</v>
      </c>
      <c r="J422" s="12" t="s">
        <v>259</v>
      </c>
      <c r="K422" s="22">
        <v>1250000</v>
      </c>
      <c r="L422" s="23">
        <v>600000</v>
      </c>
      <c r="M422" s="23">
        <v>200000</v>
      </c>
      <c r="N422" s="22">
        <v>236000</v>
      </c>
      <c r="O422" s="13">
        <v>105000</v>
      </c>
      <c r="P422" s="13">
        <v>50000</v>
      </c>
      <c r="Q422" s="13" t="s">
        <v>33</v>
      </c>
      <c r="R422" s="24">
        <f t="shared" si="13"/>
        <v>59000</v>
      </c>
    </row>
    <row r="423" spans="1:18" ht="14.25" customHeight="1">
      <c r="A423" s="10">
        <v>250800022</v>
      </c>
      <c r="B423" s="10" t="s">
        <v>370</v>
      </c>
      <c r="C423" s="10" t="s">
        <v>15</v>
      </c>
      <c r="D423" s="10" t="s">
        <v>381</v>
      </c>
      <c r="E423" s="74" t="s">
        <v>397</v>
      </c>
      <c r="F423" s="10" t="s">
        <v>144</v>
      </c>
      <c r="G423" s="10" t="s">
        <v>36</v>
      </c>
      <c r="H423" s="11">
        <v>45874</v>
      </c>
      <c r="I423" s="11">
        <v>45874</v>
      </c>
      <c r="J423" s="12" t="s">
        <v>172</v>
      </c>
      <c r="K423" s="22">
        <v>2500000</v>
      </c>
      <c r="L423" s="23">
        <v>1600000</v>
      </c>
      <c r="M423" s="23">
        <v>275000</v>
      </c>
      <c r="N423" s="22">
        <v>308000</v>
      </c>
      <c r="O423" s="13">
        <v>231500</v>
      </c>
      <c r="P423" s="13">
        <v>50000</v>
      </c>
      <c r="Q423" s="13" t="s">
        <v>33</v>
      </c>
      <c r="R423" s="24">
        <f t="shared" si="13"/>
        <v>35500</v>
      </c>
    </row>
    <row r="424" spans="1:18" ht="14.25" customHeight="1">
      <c r="A424" s="10">
        <v>250800023</v>
      </c>
      <c r="B424" s="10" t="s">
        <v>370</v>
      </c>
      <c r="C424" s="10" t="s">
        <v>15</v>
      </c>
      <c r="D424" s="10" t="s">
        <v>382</v>
      </c>
      <c r="E424" s="74" t="s">
        <v>400</v>
      </c>
      <c r="F424" s="10" t="s">
        <v>81</v>
      </c>
      <c r="G424" s="10" t="s">
        <v>59</v>
      </c>
      <c r="H424" s="11">
        <v>45876</v>
      </c>
      <c r="I424" s="11">
        <v>45876</v>
      </c>
      <c r="J424" s="47" t="s">
        <v>288</v>
      </c>
      <c r="K424" s="22">
        <v>650000</v>
      </c>
      <c r="L424" s="23">
        <v>250000</v>
      </c>
      <c r="M424" s="23">
        <v>125000</v>
      </c>
      <c r="N424" s="22">
        <v>50000</v>
      </c>
      <c r="O424" s="13">
        <v>37000</v>
      </c>
      <c r="P424" s="13">
        <v>0</v>
      </c>
      <c r="Q424" s="13">
        <v>0</v>
      </c>
      <c r="R424" s="24">
        <f t="shared" si="13"/>
        <v>188000</v>
      </c>
    </row>
    <row r="425" spans="1:18" ht="14.25" customHeight="1">
      <c r="A425" s="10">
        <v>250800024</v>
      </c>
      <c r="B425" s="10" t="s">
        <v>289</v>
      </c>
      <c r="C425" s="36" t="s">
        <v>290</v>
      </c>
      <c r="D425" s="10" t="s">
        <v>289</v>
      </c>
      <c r="E425" s="10" t="s">
        <v>394</v>
      </c>
      <c r="F425" s="10" t="s">
        <v>16</v>
      </c>
      <c r="G425" s="10" t="s">
        <v>186</v>
      </c>
      <c r="H425" s="11">
        <v>45876</v>
      </c>
      <c r="I425" s="11">
        <v>45876</v>
      </c>
      <c r="J425" s="47" t="s">
        <v>156</v>
      </c>
      <c r="K425" s="22">
        <v>1100000</v>
      </c>
      <c r="L425" s="23">
        <v>400000</v>
      </c>
      <c r="M425" s="23">
        <v>225000</v>
      </c>
      <c r="N425" s="22">
        <v>235000</v>
      </c>
      <c r="O425" s="13">
        <v>0</v>
      </c>
      <c r="P425" s="13">
        <v>0</v>
      </c>
      <c r="Q425" s="13">
        <v>0</v>
      </c>
      <c r="R425" s="24">
        <f t="shared" si="13"/>
        <v>240000</v>
      </c>
    </row>
    <row r="426" spans="1:18" ht="14.25" customHeight="1">
      <c r="A426" s="10">
        <v>250800025</v>
      </c>
      <c r="B426" s="10" t="s">
        <v>373</v>
      </c>
      <c r="C426" s="36" t="s">
        <v>28</v>
      </c>
      <c r="D426" s="10" t="s">
        <v>192</v>
      </c>
      <c r="E426" s="10" t="s">
        <v>394</v>
      </c>
      <c r="F426" s="10" t="s">
        <v>16</v>
      </c>
      <c r="G426" s="10" t="s">
        <v>59</v>
      </c>
      <c r="H426" s="11">
        <v>45877</v>
      </c>
      <c r="I426" s="11">
        <v>45877</v>
      </c>
      <c r="J426" s="47" t="s">
        <v>275</v>
      </c>
      <c r="K426" s="22">
        <v>816001</v>
      </c>
      <c r="L426" s="23">
        <v>375000</v>
      </c>
      <c r="M426" s="23">
        <v>200000</v>
      </c>
      <c r="N426" s="22">
        <v>83000</v>
      </c>
      <c r="O426" s="13">
        <v>0</v>
      </c>
      <c r="P426" s="13">
        <v>0</v>
      </c>
      <c r="Q426" s="13">
        <v>0</v>
      </c>
      <c r="R426" s="24">
        <f t="shared" si="13"/>
        <v>158001</v>
      </c>
    </row>
    <row r="427" spans="1:18" ht="14.25" customHeight="1">
      <c r="A427" s="10">
        <v>250800026</v>
      </c>
      <c r="B427" s="10" t="s">
        <v>373</v>
      </c>
      <c r="C427" s="36" t="s">
        <v>28</v>
      </c>
      <c r="D427" s="10" t="s">
        <v>207</v>
      </c>
      <c r="E427" s="10" t="s">
        <v>394</v>
      </c>
      <c r="F427" s="10" t="s">
        <v>16</v>
      </c>
      <c r="G427" s="10" t="s">
        <v>39</v>
      </c>
      <c r="H427" s="11">
        <v>45877</v>
      </c>
      <c r="I427" s="11">
        <v>45877</v>
      </c>
      <c r="J427" s="47" t="s">
        <v>79</v>
      </c>
      <c r="K427" s="22">
        <v>864001</v>
      </c>
      <c r="L427" s="23">
        <v>400000</v>
      </c>
      <c r="M427" s="23">
        <v>225000</v>
      </c>
      <c r="N427" s="22">
        <v>100000</v>
      </c>
      <c r="O427" s="13">
        <v>0</v>
      </c>
      <c r="P427" s="13">
        <v>0</v>
      </c>
      <c r="Q427" s="13">
        <v>0</v>
      </c>
      <c r="R427" s="24">
        <f t="shared" si="13"/>
        <v>139001</v>
      </c>
    </row>
    <row r="428" spans="1:18" ht="14.25" customHeight="1">
      <c r="A428" s="10">
        <v>250800027</v>
      </c>
      <c r="B428" s="10" t="s">
        <v>373</v>
      </c>
      <c r="C428" s="36" t="s">
        <v>28</v>
      </c>
      <c r="D428" s="10" t="s">
        <v>41</v>
      </c>
      <c r="E428" s="10" t="s">
        <v>394</v>
      </c>
      <c r="F428" s="10" t="s">
        <v>16</v>
      </c>
      <c r="G428" s="10" t="s">
        <v>30</v>
      </c>
      <c r="H428" s="35">
        <v>45877</v>
      </c>
      <c r="I428" s="11">
        <v>45877</v>
      </c>
      <c r="J428" s="12" t="s">
        <v>291</v>
      </c>
      <c r="K428" s="23">
        <v>864001</v>
      </c>
      <c r="L428" s="23">
        <v>375000</v>
      </c>
      <c r="M428" s="23">
        <v>225000</v>
      </c>
      <c r="N428" s="23">
        <v>135000</v>
      </c>
      <c r="O428" s="18">
        <v>0</v>
      </c>
      <c r="P428" s="18">
        <v>0</v>
      </c>
      <c r="Q428" s="18">
        <v>0</v>
      </c>
      <c r="R428" s="24">
        <f t="shared" si="13"/>
        <v>129001</v>
      </c>
    </row>
    <row r="429" spans="1:18" ht="14.25" customHeight="1">
      <c r="A429" s="10">
        <v>250800028</v>
      </c>
      <c r="B429" s="10" t="s">
        <v>131</v>
      </c>
      <c r="C429" s="36" t="s">
        <v>132</v>
      </c>
      <c r="D429" s="10" t="s">
        <v>131</v>
      </c>
      <c r="E429" s="74" t="s">
        <v>404</v>
      </c>
      <c r="F429" s="10" t="s">
        <v>106</v>
      </c>
      <c r="G429" s="10" t="s">
        <v>17</v>
      </c>
      <c r="H429" s="11">
        <v>45877</v>
      </c>
      <c r="I429" s="11">
        <v>45877</v>
      </c>
      <c r="J429" s="12" t="s">
        <v>27</v>
      </c>
      <c r="K429" s="23">
        <v>650000</v>
      </c>
      <c r="L429" s="23">
        <v>250000</v>
      </c>
      <c r="M429" s="23">
        <v>175000</v>
      </c>
      <c r="N429" s="23">
        <v>170000</v>
      </c>
      <c r="O429" s="18">
        <v>48000</v>
      </c>
      <c r="P429" s="18">
        <v>0</v>
      </c>
      <c r="Q429" s="18">
        <v>0</v>
      </c>
      <c r="R429" s="24">
        <f t="shared" si="13"/>
        <v>7000</v>
      </c>
    </row>
    <row r="430" spans="1:18" ht="14.25" customHeight="1">
      <c r="A430" s="76">
        <v>250800029</v>
      </c>
      <c r="B430" s="76" t="s">
        <v>19</v>
      </c>
      <c r="C430" s="90" t="s">
        <v>20</v>
      </c>
      <c r="D430" s="76" t="s">
        <v>53</v>
      </c>
      <c r="E430" s="76" t="s">
        <v>398</v>
      </c>
      <c r="F430" s="76" t="s">
        <v>58</v>
      </c>
      <c r="G430" s="76" t="s">
        <v>36</v>
      </c>
      <c r="H430" s="92">
        <v>45876</v>
      </c>
      <c r="I430" s="92">
        <v>45879</v>
      </c>
      <c r="J430" s="113" t="s">
        <v>292</v>
      </c>
      <c r="K430" s="106">
        <v>5781105</v>
      </c>
      <c r="L430" s="108">
        <v>1800000</v>
      </c>
      <c r="M430" s="108">
        <v>1075000</v>
      </c>
      <c r="N430" s="106">
        <v>648000</v>
      </c>
      <c r="O430" s="106">
        <v>124500</v>
      </c>
      <c r="P430" s="106">
        <v>0</v>
      </c>
      <c r="Q430" s="106">
        <v>0</v>
      </c>
      <c r="R430" s="112">
        <f>SUM(K430-L430-L431-L432-L433-M430-M431-M432-M433-M434-N430-O430)</f>
        <v>2133605</v>
      </c>
    </row>
    <row r="431" spans="1:18" ht="14.2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</row>
    <row r="432" spans="1:18" ht="14.2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</row>
    <row r="433" spans="1:18" ht="14.2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</row>
    <row r="434" spans="1:18" ht="14.25" customHeight="1">
      <c r="A434" s="77"/>
      <c r="B434" s="87"/>
      <c r="C434" s="77"/>
      <c r="D434" s="87"/>
      <c r="E434" s="87"/>
      <c r="F434" s="87"/>
      <c r="G434" s="87"/>
      <c r="H434" s="77"/>
      <c r="I434" s="77"/>
      <c r="J434" s="77"/>
      <c r="K434" s="87"/>
      <c r="L434" s="77"/>
      <c r="M434" s="77"/>
      <c r="N434" s="87"/>
      <c r="O434" s="87"/>
      <c r="P434" s="87"/>
      <c r="Q434" s="87"/>
      <c r="R434" s="87"/>
    </row>
    <row r="435" spans="1:18" ht="14.25" customHeight="1">
      <c r="A435" s="76">
        <v>250800030</v>
      </c>
      <c r="B435" s="76" t="s">
        <v>19</v>
      </c>
      <c r="C435" s="90" t="s">
        <v>20</v>
      </c>
      <c r="D435" s="76" t="s">
        <v>55</v>
      </c>
      <c r="E435" s="76" t="s">
        <v>395</v>
      </c>
      <c r="F435" s="76" t="s">
        <v>25</v>
      </c>
      <c r="G435" s="130" t="s">
        <v>166</v>
      </c>
      <c r="H435" s="115">
        <v>45877</v>
      </c>
      <c r="I435" s="115">
        <v>45880</v>
      </c>
      <c r="J435" s="113" t="s">
        <v>52</v>
      </c>
      <c r="K435" s="106">
        <v>4389572</v>
      </c>
      <c r="L435" s="106">
        <v>1400000</v>
      </c>
      <c r="M435" s="106">
        <v>975000</v>
      </c>
      <c r="N435" s="106">
        <v>465000</v>
      </c>
      <c r="O435" s="106">
        <v>115000</v>
      </c>
      <c r="P435" s="106">
        <v>0</v>
      </c>
      <c r="Q435" s="106">
        <v>0</v>
      </c>
      <c r="R435" s="112">
        <f>SUM(K435-L435-L436-L437-L438-M435-M436-M437-M438-M439-N435-O435)</f>
        <v>1434572</v>
      </c>
    </row>
    <row r="436" spans="1:18" ht="14.2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</row>
    <row r="437" spans="1:18" ht="14.2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</row>
    <row r="438" spans="1:18" ht="14.2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</row>
    <row r="439" spans="1:18" ht="14.25" customHeight="1">
      <c r="A439" s="77"/>
      <c r="B439" s="87"/>
      <c r="C439" s="77"/>
      <c r="D439" s="87"/>
      <c r="E439" s="87"/>
      <c r="F439" s="87"/>
      <c r="G439" s="78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</row>
    <row r="440" spans="1:18" ht="14.25" customHeight="1">
      <c r="A440" s="76">
        <v>250800031</v>
      </c>
      <c r="B440" s="76" t="s">
        <v>19</v>
      </c>
      <c r="C440" s="90" t="s">
        <v>20</v>
      </c>
      <c r="D440" s="76" t="s">
        <v>55</v>
      </c>
      <c r="E440" s="76" t="s">
        <v>398</v>
      </c>
      <c r="F440" s="76" t="s">
        <v>58</v>
      </c>
      <c r="G440" s="76" t="s">
        <v>166</v>
      </c>
      <c r="H440" s="115">
        <v>45882</v>
      </c>
      <c r="I440" s="115">
        <v>45886</v>
      </c>
      <c r="J440" s="113" t="s">
        <v>73</v>
      </c>
      <c r="K440" s="106">
        <v>6080371</v>
      </c>
      <c r="L440" s="106">
        <v>3000000</v>
      </c>
      <c r="M440" s="106">
        <v>1250000</v>
      </c>
      <c r="N440" s="106">
        <v>420000</v>
      </c>
      <c r="O440" s="106">
        <v>0</v>
      </c>
      <c r="P440" s="106">
        <v>0</v>
      </c>
      <c r="Q440" s="106">
        <v>0</v>
      </c>
      <c r="R440" s="112">
        <f>SUM(K440-L440-L441-L442-L443-L444-M440-M441-M442-M443-M444-N440)</f>
        <v>1410371</v>
      </c>
    </row>
    <row r="441" spans="1:18" ht="14.2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</row>
    <row r="442" spans="1:18" ht="14.2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</row>
    <row r="443" spans="1:18" ht="14.2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</row>
    <row r="444" spans="1:18" ht="14.25" customHeight="1">
      <c r="A444" s="77"/>
      <c r="B444" s="87"/>
      <c r="C444" s="77"/>
      <c r="D444" s="87"/>
      <c r="E444" s="87"/>
      <c r="F444" s="8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</row>
    <row r="445" spans="1:18" ht="14.25" customHeight="1">
      <c r="A445" s="76">
        <v>250800032</v>
      </c>
      <c r="B445" s="76" t="s">
        <v>19</v>
      </c>
      <c r="C445" s="90" t="s">
        <v>20</v>
      </c>
      <c r="D445" s="76" t="s">
        <v>76</v>
      </c>
      <c r="E445" s="76" t="s">
        <v>398</v>
      </c>
      <c r="F445" s="76" t="s">
        <v>58</v>
      </c>
      <c r="G445" s="116" t="s">
        <v>36</v>
      </c>
      <c r="H445" s="115">
        <v>45876</v>
      </c>
      <c r="I445" s="115">
        <v>45881</v>
      </c>
      <c r="J445" s="113" t="s">
        <v>293</v>
      </c>
      <c r="K445" s="106">
        <v>5807313</v>
      </c>
      <c r="L445" s="106">
        <v>3000000</v>
      </c>
      <c r="M445" s="106">
        <v>1325000</v>
      </c>
      <c r="N445" s="106">
        <v>501000</v>
      </c>
      <c r="O445" s="106">
        <v>9000</v>
      </c>
      <c r="P445" s="106">
        <v>0</v>
      </c>
      <c r="Q445" s="106">
        <v>0</v>
      </c>
      <c r="R445" s="112">
        <f>SUM(K445-L445-L446-L447-L448-L449-L450-M445-M446-M447-M448-M449-M450-N445-O445)</f>
        <v>972313</v>
      </c>
    </row>
    <row r="446" spans="1:18" ht="14.2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</row>
    <row r="447" spans="1:18" ht="14.2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</row>
    <row r="448" spans="1:18" ht="14.2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</row>
    <row r="449" spans="1:18" ht="14.2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</row>
    <row r="450" spans="1:18" ht="14.25" customHeight="1">
      <c r="A450" s="77"/>
      <c r="B450" s="87"/>
      <c r="C450" s="77"/>
      <c r="D450" s="87"/>
      <c r="E450" s="87"/>
      <c r="F450" s="87"/>
      <c r="G450" s="8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</row>
    <row r="451" spans="1:18" ht="14.25" customHeight="1">
      <c r="A451" s="76">
        <v>250800033</v>
      </c>
      <c r="B451" s="76" t="s">
        <v>19</v>
      </c>
      <c r="C451" s="90" t="s">
        <v>20</v>
      </c>
      <c r="D451" s="76" t="s">
        <v>112</v>
      </c>
      <c r="E451" s="76" t="s">
        <v>395</v>
      </c>
      <c r="F451" s="76" t="s">
        <v>25</v>
      </c>
      <c r="G451" s="76" t="s">
        <v>30</v>
      </c>
      <c r="H451" s="92">
        <v>45879</v>
      </c>
      <c r="I451" s="92">
        <v>45880</v>
      </c>
      <c r="J451" s="113" t="s">
        <v>54</v>
      </c>
      <c r="K451" s="106">
        <v>1896048</v>
      </c>
      <c r="L451" s="106">
        <v>800000</v>
      </c>
      <c r="M451" s="106">
        <v>450000</v>
      </c>
      <c r="N451" s="106">
        <v>150000</v>
      </c>
      <c r="O451" s="106">
        <v>0</v>
      </c>
      <c r="P451" s="106">
        <v>0</v>
      </c>
      <c r="Q451" s="106">
        <v>0</v>
      </c>
      <c r="R451" s="112">
        <f>SUM(K451-L451-L452-M451-M452-N451)</f>
        <v>496048</v>
      </c>
    </row>
    <row r="452" spans="1:18" ht="14.25" customHeight="1">
      <c r="A452" s="77"/>
      <c r="B452" s="87"/>
      <c r="C452" s="77"/>
      <c r="D452" s="87"/>
      <c r="E452" s="87"/>
      <c r="F452" s="87"/>
      <c r="G452" s="8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</row>
    <row r="453" spans="1:18" ht="14.25" customHeight="1">
      <c r="A453" s="76">
        <v>250800034</v>
      </c>
      <c r="B453" s="76" t="s">
        <v>373</v>
      </c>
      <c r="C453" s="90" t="s">
        <v>28</v>
      </c>
      <c r="D453" s="76" t="s">
        <v>142</v>
      </c>
      <c r="E453" s="76" t="s">
        <v>395</v>
      </c>
      <c r="F453" s="76" t="s">
        <v>25</v>
      </c>
      <c r="G453" s="76" t="s">
        <v>59</v>
      </c>
      <c r="H453" s="92">
        <v>45880</v>
      </c>
      <c r="I453" s="92">
        <v>45881</v>
      </c>
      <c r="J453" s="113" t="s">
        <v>137</v>
      </c>
      <c r="K453" s="106">
        <v>1728001</v>
      </c>
      <c r="L453" s="106">
        <v>800000</v>
      </c>
      <c r="M453" s="106">
        <v>450000</v>
      </c>
      <c r="N453" s="106">
        <v>150000</v>
      </c>
      <c r="O453" s="106">
        <v>0</v>
      </c>
      <c r="P453" s="106">
        <v>0</v>
      </c>
      <c r="Q453" s="106">
        <v>0</v>
      </c>
      <c r="R453" s="112">
        <f>SUM(K453-L453-L454-M453-M454-N453)</f>
        <v>328001</v>
      </c>
    </row>
    <row r="454" spans="1:18" ht="14.25" customHeight="1">
      <c r="A454" s="77"/>
      <c r="B454" s="87"/>
      <c r="C454" s="77"/>
      <c r="D454" s="87"/>
      <c r="E454" s="87"/>
      <c r="F454" s="87"/>
      <c r="G454" s="8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</row>
    <row r="455" spans="1:18" ht="14.25" customHeight="1">
      <c r="A455" s="76">
        <v>250800035</v>
      </c>
      <c r="B455" s="76" t="s">
        <v>373</v>
      </c>
      <c r="C455" s="90" t="s">
        <v>28</v>
      </c>
      <c r="D455" s="76" t="s">
        <v>142</v>
      </c>
      <c r="E455" s="76" t="s">
        <v>395</v>
      </c>
      <c r="F455" s="76" t="s">
        <v>25</v>
      </c>
      <c r="G455" s="76" t="s">
        <v>59</v>
      </c>
      <c r="H455" s="92">
        <v>45882</v>
      </c>
      <c r="I455" s="92">
        <v>45884</v>
      </c>
      <c r="J455" s="113" t="s">
        <v>294</v>
      </c>
      <c r="K455" s="106">
        <v>2736001</v>
      </c>
      <c r="L455" s="106">
        <v>1200000</v>
      </c>
      <c r="M455" s="106">
        <v>675000</v>
      </c>
      <c r="N455" s="106">
        <v>300000</v>
      </c>
      <c r="O455" s="106">
        <v>0</v>
      </c>
      <c r="P455" s="106">
        <v>0</v>
      </c>
      <c r="Q455" s="106">
        <v>0</v>
      </c>
      <c r="R455" s="112">
        <f>SUM(K455-L455-L456-L457-M455-M456-M457-N455)</f>
        <v>561001</v>
      </c>
    </row>
    <row r="456" spans="1:18" ht="14.2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</row>
    <row r="457" spans="1:18" ht="14.25" customHeight="1">
      <c r="A457" s="77"/>
      <c r="B457" s="87"/>
      <c r="C457" s="77"/>
      <c r="D457" s="87"/>
      <c r="E457" s="87"/>
      <c r="F457" s="87"/>
      <c r="G457" s="8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</row>
    <row r="458" spans="1:18" ht="14.25" customHeight="1">
      <c r="A458" s="76">
        <v>250800036</v>
      </c>
      <c r="B458" s="76" t="s">
        <v>370</v>
      </c>
      <c r="C458" s="76" t="s">
        <v>15</v>
      </c>
      <c r="D458" s="76" t="s">
        <v>379</v>
      </c>
      <c r="E458" s="76" t="s">
        <v>398</v>
      </c>
      <c r="F458" s="76" t="s">
        <v>58</v>
      </c>
      <c r="G458" s="76" t="s">
        <v>22</v>
      </c>
      <c r="H458" s="92">
        <v>45880</v>
      </c>
      <c r="I458" s="92">
        <v>45886</v>
      </c>
      <c r="J458" s="113" t="s">
        <v>295</v>
      </c>
      <c r="K458" s="106">
        <v>11500000</v>
      </c>
      <c r="L458" s="106">
        <v>4300000</v>
      </c>
      <c r="M458" s="106">
        <v>1975000</v>
      </c>
      <c r="N458" s="106">
        <v>1243000</v>
      </c>
      <c r="O458" s="106">
        <v>0</v>
      </c>
      <c r="P458" s="106">
        <v>50000</v>
      </c>
      <c r="Q458" s="106" t="s">
        <v>296</v>
      </c>
      <c r="R458" s="114">
        <f>SUM(K458-L458-M458-N458-O458-P458)</f>
        <v>3932000</v>
      </c>
    </row>
    <row r="459" spans="1:18" ht="14.2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</row>
    <row r="460" spans="1:18" ht="14.2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</row>
    <row r="461" spans="1:18" ht="14.2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</row>
    <row r="462" spans="1:18" ht="14.2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</row>
    <row r="463" spans="1:18" ht="14.2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</row>
    <row r="464" spans="1:18" ht="14.25" customHeight="1">
      <c r="A464" s="77"/>
      <c r="B464" s="87"/>
      <c r="C464" s="77"/>
      <c r="D464" s="87"/>
      <c r="E464" s="87"/>
      <c r="F464" s="87"/>
      <c r="G464" s="8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</row>
    <row r="465" spans="1:18" ht="14.25" customHeight="1">
      <c r="A465" s="10">
        <v>250800037</v>
      </c>
      <c r="B465" s="10" t="s">
        <v>168</v>
      </c>
      <c r="C465" s="36" t="s">
        <v>167</v>
      </c>
      <c r="D465" s="10" t="s">
        <v>168</v>
      </c>
      <c r="E465" s="74" t="s">
        <v>398</v>
      </c>
      <c r="F465" s="10" t="s">
        <v>58</v>
      </c>
      <c r="G465" s="10" t="s">
        <v>17</v>
      </c>
      <c r="H465" s="11">
        <v>45880</v>
      </c>
      <c r="I465" s="11">
        <v>45880</v>
      </c>
      <c r="J465" s="12" t="s">
        <v>137</v>
      </c>
      <c r="K465" s="22">
        <v>1500000</v>
      </c>
      <c r="L465" s="23">
        <v>600000</v>
      </c>
      <c r="M465" s="23">
        <v>250000</v>
      </c>
      <c r="N465" s="22">
        <v>220000</v>
      </c>
      <c r="O465" s="13">
        <v>143000</v>
      </c>
      <c r="P465" s="22">
        <v>0</v>
      </c>
      <c r="Q465" s="22">
        <v>0</v>
      </c>
      <c r="R465" s="24">
        <f>SUM(K465-L465-M465-N465-O465)</f>
        <v>287000</v>
      </c>
    </row>
    <row r="466" spans="1:18" ht="14.25" customHeight="1">
      <c r="A466" s="76">
        <v>250800038</v>
      </c>
      <c r="B466" s="76" t="s">
        <v>373</v>
      </c>
      <c r="C466" s="90" t="s">
        <v>28</v>
      </c>
      <c r="D466" s="76" t="s">
        <v>142</v>
      </c>
      <c r="E466" s="76" t="s">
        <v>395</v>
      </c>
      <c r="F466" s="76" t="s">
        <v>25</v>
      </c>
      <c r="G466" s="76" t="s">
        <v>36</v>
      </c>
      <c r="H466" s="92">
        <v>45880</v>
      </c>
      <c r="I466" s="92">
        <v>45881</v>
      </c>
      <c r="J466" s="113" t="s">
        <v>137</v>
      </c>
      <c r="K466" s="106">
        <v>1728001</v>
      </c>
      <c r="L466" s="106">
        <v>750000</v>
      </c>
      <c r="M466" s="106">
        <v>450000</v>
      </c>
      <c r="N466" s="106">
        <v>175000</v>
      </c>
      <c r="O466" s="106">
        <v>0</v>
      </c>
      <c r="P466" s="106">
        <v>0</v>
      </c>
      <c r="Q466" s="106">
        <v>0</v>
      </c>
      <c r="R466" s="112">
        <f>SUM(K466-L466-L467-M466-M467-N466)</f>
        <v>353001</v>
      </c>
    </row>
    <row r="467" spans="1:18" ht="14.25" customHeight="1">
      <c r="A467" s="77"/>
      <c r="B467" s="87"/>
      <c r="C467" s="77"/>
      <c r="D467" s="87"/>
      <c r="E467" s="87"/>
      <c r="F467" s="87"/>
      <c r="G467" s="8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</row>
    <row r="468" spans="1:18" ht="14.25" customHeight="1">
      <c r="A468" s="10">
        <v>250800039</v>
      </c>
      <c r="B468" s="27" t="s">
        <v>373</v>
      </c>
      <c r="C468" s="36" t="s">
        <v>28</v>
      </c>
      <c r="D468" s="10" t="s">
        <v>29</v>
      </c>
      <c r="E468" s="10" t="s">
        <v>395</v>
      </c>
      <c r="F468" s="10" t="s">
        <v>25</v>
      </c>
      <c r="G468" s="10" t="s">
        <v>30</v>
      </c>
      <c r="H468" s="11">
        <v>45881</v>
      </c>
      <c r="I468" s="11">
        <v>45881</v>
      </c>
      <c r="J468" s="12" t="s">
        <v>137</v>
      </c>
      <c r="K468" s="22">
        <v>864001</v>
      </c>
      <c r="L468" s="23">
        <v>400000</v>
      </c>
      <c r="M468" s="23">
        <v>225000</v>
      </c>
      <c r="N468" s="22">
        <v>125000</v>
      </c>
      <c r="O468" s="13">
        <v>0</v>
      </c>
      <c r="P468" s="22">
        <v>0</v>
      </c>
      <c r="Q468" s="22">
        <v>0</v>
      </c>
      <c r="R468" s="24">
        <f>SUM(K468-L468-M468-N468-O468)</f>
        <v>114001</v>
      </c>
    </row>
    <row r="469" spans="1:18" ht="14.25" customHeight="1">
      <c r="A469" s="76">
        <v>250800040</v>
      </c>
      <c r="B469" s="76" t="s">
        <v>373</v>
      </c>
      <c r="C469" s="90" t="s">
        <v>28</v>
      </c>
      <c r="D469" s="76" t="s">
        <v>29</v>
      </c>
      <c r="E469" s="76" t="s">
        <v>395</v>
      </c>
      <c r="F469" s="76" t="s">
        <v>25</v>
      </c>
      <c r="G469" s="76" t="s">
        <v>30</v>
      </c>
      <c r="H469" s="92">
        <v>45882</v>
      </c>
      <c r="I469" s="92">
        <v>45884</v>
      </c>
      <c r="J469" s="113" t="s">
        <v>294</v>
      </c>
      <c r="K469" s="106">
        <v>2736001</v>
      </c>
      <c r="L469" s="106">
        <v>1200000</v>
      </c>
      <c r="M469" s="106">
        <v>675000</v>
      </c>
      <c r="N469" s="106">
        <v>274000</v>
      </c>
      <c r="O469" s="106">
        <v>0</v>
      </c>
      <c r="P469" s="106">
        <v>0</v>
      </c>
      <c r="Q469" s="106">
        <v>0</v>
      </c>
      <c r="R469" s="112">
        <f>SUM(K469-L469-L470-L471-M469-M470-M471-N469)</f>
        <v>587001</v>
      </c>
    </row>
    <row r="470" spans="1:18" ht="14.2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</row>
    <row r="471" spans="1:18" ht="14.25" customHeight="1">
      <c r="A471" s="77"/>
      <c r="B471" s="8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</row>
    <row r="472" spans="1:18" ht="14.25" customHeight="1">
      <c r="A472" s="76">
        <v>250800041</v>
      </c>
      <c r="B472" s="76" t="s">
        <v>373</v>
      </c>
      <c r="C472" s="90" t="s">
        <v>28</v>
      </c>
      <c r="D472" s="76" t="s">
        <v>274</v>
      </c>
      <c r="E472" s="76" t="s">
        <v>395</v>
      </c>
      <c r="F472" s="76" t="s">
        <v>25</v>
      </c>
      <c r="G472" s="76" t="s">
        <v>39</v>
      </c>
      <c r="H472" s="92">
        <v>45881</v>
      </c>
      <c r="I472" s="92">
        <v>45882</v>
      </c>
      <c r="J472" s="113" t="s">
        <v>297</v>
      </c>
      <c r="K472" s="106">
        <v>1824001</v>
      </c>
      <c r="L472" s="106">
        <v>750000</v>
      </c>
      <c r="M472" s="106">
        <v>450000</v>
      </c>
      <c r="N472" s="106">
        <v>200000</v>
      </c>
      <c r="O472" s="106">
        <v>0</v>
      </c>
      <c r="P472" s="106">
        <v>0</v>
      </c>
      <c r="Q472" s="106">
        <v>0</v>
      </c>
      <c r="R472" s="112">
        <f>SUM(K472-L472-L473-M472-M473-N472)</f>
        <v>424001</v>
      </c>
    </row>
    <row r="473" spans="1:18" ht="14.25" customHeight="1">
      <c r="A473" s="77"/>
      <c r="B473" s="87"/>
      <c r="C473" s="77"/>
      <c r="D473" s="87"/>
      <c r="E473" s="77"/>
      <c r="F473" s="77"/>
      <c r="G473" s="8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</row>
    <row r="474" spans="1:18" ht="14.25" customHeight="1">
      <c r="A474" s="10">
        <v>250800042</v>
      </c>
      <c r="B474" s="27" t="s">
        <v>373</v>
      </c>
      <c r="C474" s="36" t="s">
        <v>28</v>
      </c>
      <c r="D474" s="10" t="s">
        <v>274</v>
      </c>
      <c r="E474" s="10" t="s">
        <v>395</v>
      </c>
      <c r="F474" s="10" t="s">
        <v>25</v>
      </c>
      <c r="G474" s="10" t="s">
        <v>17</v>
      </c>
      <c r="H474" s="11">
        <v>45881</v>
      </c>
      <c r="I474" s="11">
        <v>45881</v>
      </c>
      <c r="J474" s="12" t="s">
        <v>137</v>
      </c>
      <c r="K474" s="22">
        <v>864001</v>
      </c>
      <c r="L474" s="23">
        <v>375000</v>
      </c>
      <c r="M474" s="23">
        <v>225000</v>
      </c>
      <c r="N474" s="22">
        <v>150000</v>
      </c>
      <c r="O474" s="13">
        <v>0</v>
      </c>
      <c r="P474" s="22">
        <v>0</v>
      </c>
      <c r="Q474" s="22">
        <v>0</v>
      </c>
      <c r="R474" s="24">
        <f>SUM(K474-L474-M474-N474)</f>
        <v>114001</v>
      </c>
    </row>
    <row r="475" spans="1:18" ht="14.25" customHeight="1">
      <c r="A475" s="10">
        <v>250800043</v>
      </c>
      <c r="B475" s="27" t="s">
        <v>373</v>
      </c>
      <c r="C475" s="36" t="s">
        <v>28</v>
      </c>
      <c r="D475" s="27" t="s">
        <v>35</v>
      </c>
      <c r="E475" s="10" t="s">
        <v>395</v>
      </c>
      <c r="F475" s="10" t="s">
        <v>25</v>
      </c>
      <c r="G475" s="10" t="s">
        <v>17</v>
      </c>
      <c r="H475" s="11">
        <v>45882</v>
      </c>
      <c r="I475" s="92">
        <v>45883</v>
      </c>
      <c r="J475" s="113" t="s">
        <v>298</v>
      </c>
      <c r="K475" s="106">
        <v>1824001</v>
      </c>
      <c r="L475" s="108">
        <v>750000</v>
      </c>
      <c r="M475" s="108">
        <v>450000</v>
      </c>
      <c r="N475" s="106">
        <v>235000</v>
      </c>
      <c r="O475" s="106">
        <v>0</v>
      </c>
      <c r="P475" s="106">
        <v>0</v>
      </c>
      <c r="Q475" s="106">
        <v>0</v>
      </c>
      <c r="R475" s="112">
        <f>SUM(K475-L475-L476-M475-M476-N475)</f>
        <v>389001</v>
      </c>
    </row>
    <row r="476" spans="1:18" ht="14.25" customHeight="1">
      <c r="A476" s="10">
        <v>250800043</v>
      </c>
      <c r="B476" s="27" t="s">
        <v>373</v>
      </c>
      <c r="C476" s="36" t="s">
        <v>28</v>
      </c>
      <c r="D476" s="27" t="s">
        <v>35</v>
      </c>
      <c r="E476" s="10" t="s">
        <v>395</v>
      </c>
      <c r="F476" s="10" t="s">
        <v>25</v>
      </c>
      <c r="G476" s="10" t="s">
        <v>17</v>
      </c>
      <c r="H476" s="11">
        <v>45883</v>
      </c>
      <c r="I476" s="77"/>
      <c r="J476" s="77"/>
      <c r="K476" s="77"/>
      <c r="L476" s="77"/>
      <c r="M476" s="77"/>
      <c r="N476" s="77"/>
      <c r="O476" s="77"/>
      <c r="P476" s="77"/>
      <c r="Q476" s="77"/>
      <c r="R476" s="77"/>
    </row>
    <row r="477" spans="1:18" ht="14.25" customHeight="1">
      <c r="A477" s="76">
        <v>250800044</v>
      </c>
      <c r="B477" s="76" t="s">
        <v>373</v>
      </c>
      <c r="C477" s="90" t="s">
        <v>28</v>
      </c>
      <c r="D477" s="76" t="s">
        <v>142</v>
      </c>
      <c r="E477" s="76" t="s">
        <v>395</v>
      </c>
      <c r="F477" s="76" t="s">
        <v>25</v>
      </c>
      <c r="G477" s="76" t="s">
        <v>36</v>
      </c>
      <c r="H477" s="92">
        <v>45882</v>
      </c>
      <c r="I477" s="92">
        <v>45884</v>
      </c>
      <c r="J477" s="113" t="s">
        <v>294</v>
      </c>
      <c r="K477" s="106">
        <v>2736001</v>
      </c>
      <c r="L477" s="108">
        <v>1200000</v>
      </c>
      <c r="M477" s="108">
        <v>675000</v>
      </c>
      <c r="N477" s="106">
        <v>234000</v>
      </c>
      <c r="O477" s="106">
        <v>0</v>
      </c>
      <c r="P477" s="106">
        <v>0</v>
      </c>
      <c r="Q477" s="106">
        <v>0</v>
      </c>
      <c r="R477" s="112">
        <f>SUM(K477-L477-L478-L479-M477-M478-M479-N477)</f>
        <v>627001</v>
      </c>
    </row>
    <row r="478" spans="1:18" ht="14.2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</row>
    <row r="479" spans="1:18" ht="14.25" customHeight="1">
      <c r="A479" s="77"/>
      <c r="B479" s="87"/>
      <c r="C479" s="77"/>
      <c r="D479" s="87"/>
      <c r="E479" s="77"/>
      <c r="F479" s="77"/>
      <c r="G479" s="8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</row>
    <row r="480" spans="1:18" ht="14.25" customHeight="1">
      <c r="A480" s="76">
        <v>250800045</v>
      </c>
      <c r="B480" s="76" t="s">
        <v>370</v>
      </c>
      <c r="C480" s="76" t="s">
        <v>15</v>
      </c>
      <c r="D480" s="76" t="s">
        <v>381</v>
      </c>
      <c r="E480" s="76" t="s">
        <v>395</v>
      </c>
      <c r="F480" s="76" t="s">
        <v>25</v>
      </c>
      <c r="G480" s="76" t="s">
        <v>56</v>
      </c>
      <c r="H480" s="92">
        <v>45882</v>
      </c>
      <c r="I480" s="92">
        <v>45883</v>
      </c>
      <c r="J480" s="113" t="s">
        <v>34</v>
      </c>
      <c r="K480" s="106">
        <v>1951000</v>
      </c>
      <c r="L480" s="108">
        <v>750000</v>
      </c>
      <c r="M480" s="108">
        <v>450000</v>
      </c>
      <c r="N480" s="106">
        <v>195000</v>
      </c>
      <c r="O480" s="106">
        <v>251000</v>
      </c>
      <c r="P480" s="106">
        <v>0</v>
      </c>
      <c r="Q480" s="106">
        <v>0</v>
      </c>
      <c r="R480" s="114">
        <f>SUM(K480-L480-M480-N480-O480-P480)</f>
        <v>305000</v>
      </c>
    </row>
    <row r="481" spans="1:18" ht="14.25" customHeight="1">
      <c r="A481" s="77"/>
      <c r="B481" s="87"/>
      <c r="C481" s="77"/>
      <c r="D481" s="87"/>
      <c r="E481" s="77"/>
      <c r="F481" s="77"/>
      <c r="G481" s="8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</row>
    <row r="482" spans="1:18" ht="14.25" customHeight="1">
      <c r="A482" s="10">
        <v>250800046</v>
      </c>
      <c r="B482" s="10" t="s">
        <v>19</v>
      </c>
      <c r="C482" s="36" t="s">
        <v>20</v>
      </c>
      <c r="D482" s="10" t="s">
        <v>243</v>
      </c>
      <c r="E482" s="74" t="s">
        <v>398</v>
      </c>
      <c r="F482" s="10" t="s">
        <v>58</v>
      </c>
      <c r="G482" s="10" t="s">
        <v>299</v>
      </c>
      <c r="H482" s="11">
        <v>45882</v>
      </c>
      <c r="I482" s="11">
        <v>45882</v>
      </c>
      <c r="J482" s="17" t="s">
        <v>300</v>
      </c>
      <c r="K482" s="20">
        <v>1713583</v>
      </c>
      <c r="L482" s="23">
        <v>600000</v>
      </c>
      <c r="M482" s="23">
        <v>250000</v>
      </c>
      <c r="N482" s="22">
        <v>200000</v>
      </c>
      <c r="O482" s="13">
        <v>40500</v>
      </c>
      <c r="P482" s="22">
        <v>0</v>
      </c>
      <c r="Q482" s="22">
        <v>0</v>
      </c>
      <c r="R482" s="24">
        <f t="shared" ref="R482:R485" si="14">SUM(K482-L482-M482-N482-O482-P482)</f>
        <v>623083</v>
      </c>
    </row>
    <row r="483" spans="1:18" ht="14.25" customHeight="1">
      <c r="A483" s="10">
        <v>250800047</v>
      </c>
      <c r="B483" s="10" t="s">
        <v>19</v>
      </c>
      <c r="C483" s="36" t="s">
        <v>20</v>
      </c>
      <c r="D483" s="10" t="s">
        <v>243</v>
      </c>
      <c r="E483" s="74" t="s">
        <v>398</v>
      </c>
      <c r="F483" s="10" t="s">
        <v>58</v>
      </c>
      <c r="G483" s="10" t="s">
        <v>185</v>
      </c>
      <c r="H483" s="11">
        <v>45882</v>
      </c>
      <c r="I483" s="11">
        <v>45882</v>
      </c>
      <c r="J483" s="17" t="s">
        <v>300</v>
      </c>
      <c r="K483" s="20">
        <v>1713583</v>
      </c>
      <c r="L483" s="23">
        <v>600000</v>
      </c>
      <c r="M483" s="23">
        <v>250000</v>
      </c>
      <c r="N483" s="22">
        <v>175000</v>
      </c>
      <c r="O483" s="13">
        <v>40500</v>
      </c>
      <c r="P483" s="22">
        <v>0</v>
      </c>
      <c r="Q483" s="22">
        <v>0</v>
      </c>
      <c r="R483" s="24">
        <f t="shared" si="14"/>
        <v>648083</v>
      </c>
    </row>
    <row r="484" spans="1:18" ht="14.25" customHeight="1">
      <c r="A484" s="10">
        <v>250800048</v>
      </c>
      <c r="B484" s="10" t="s">
        <v>19</v>
      </c>
      <c r="C484" s="36" t="s">
        <v>20</v>
      </c>
      <c r="D484" s="10" t="s">
        <v>243</v>
      </c>
      <c r="E484" s="74" t="s">
        <v>398</v>
      </c>
      <c r="F484" s="10" t="s">
        <v>58</v>
      </c>
      <c r="G484" s="10" t="s">
        <v>67</v>
      </c>
      <c r="H484" s="11">
        <v>45882</v>
      </c>
      <c r="I484" s="11">
        <v>45882</v>
      </c>
      <c r="J484" s="17" t="s">
        <v>300</v>
      </c>
      <c r="K484" s="20">
        <v>1713583</v>
      </c>
      <c r="L484" s="23">
        <v>600000</v>
      </c>
      <c r="M484" s="23">
        <v>250000</v>
      </c>
      <c r="N484" s="22">
        <v>200000</v>
      </c>
      <c r="O484" s="13">
        <v>170000</v>
      </c>
      <c r="P484" s="22">
        <v>0</v>
      </c>
      <c r="Q484" s="22">
        <v>0</v>
      </c>
      <c r="R484" s="24">
        <f t="shared" si="14"/>
        <v>493583</v>
      </c>
    </row>
    <row r="485" spans="1:18" ht="14.25" customHeight="1">
      <c r="A485" s="76">
        <v>250800049</v>
      </c>
      <c r="B485" s="76" t="s">
        <v>372</v>
      </c>
      <c r="C485" s="90" t="s">
        <v>121</v>
      </c>
      <c r="D485" s="76" t="s">
        <v>372</v>
      </c>
      <c r="E485" s="76" t="s">
        <v>398</v>
      </c>
      <c r="F485" s="76" t="s">
        <v>58</v>
      </c>
      <c r="G485" s="76" t="s">
        <v>61</v>
      </c>
      <c r="H485" s="92">
        <v>45882</v>
      </c>
      <c r="I485" s="92">
        <v>45885</v>
      </c>
      <c r="J485" s="113" t="s">
        <v>301</v>
      </c>
      <c r="K485" s="106">
        <v>6853500</v>
      </c>
      <c r="L485" s="106">
        <v>2500000</v>
      </c>
      <c r="M485" s="106">
        <v>1250000</v>
      </c>
      <c r="N485" s="106">
        <v>735000</v>
      </c>
      <c r="O485" s="106">
        <v>253500</v>
      </c>
      <c r="P485" s="106">
        <v>200000</v>
      </c>
      <c r="Q485" s="106" t="s">
        <v>24</v>
      </c>
      <c r="R485" s="114">
        <f t="shared" si="14"/>
        <v>1915000</v>
      </c>
    </row>
    <row r="486" spans="1:18" ht="14.2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</row>
    <row r="487" spans="1:18" ht="14.2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</row>
    <row r="488" spans="1:18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</row>
    <row r="489" spans="1:18" ht="14.25" customHeight="1">
      <c r="A489" s="77"/>
      <c r="B489" s="87"/>
      <c r="C489" s="77"/>
      <c r="D489" s="87"/>
      <c r="E489" s="87"/>
      <c r="F489" s="87"/>
      <c r="G489" s="8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</row>
    <row r="490" spans="1:18" ht="14.25" customHeight="1">
      <c r="A490" s="76">
        <v>250800050</v>
      </c>
      <c r="B490" s="76" t="s">
        <v>373</v>
      </c>
      <c r="C490" s="90" t="s">
        <v>28</v>
      </c>
      <c r="D490" s="76" t="s">
        <v>253</v>
      </c>
      <c r="E490" s="76" t="s">
        <v>395</v>
      </c>
      <c r="F490" s="76" t="s">
        <v>25</v>
      </c>
      <c r="G490" s="76" t="s">
        <v>39</v>
      </c>
      <c r="H490" s="92">
        <v>45883</v>
      </c>
      <c r="I490" s="92">
        <v>45884</v>
      </c>
      <c r="J490" s="113" t="s">
        <v>302</v>
      </c>
      <c r="K490" s="106">
        <v>1824001</v>
      </c>
      <c r="L490" s="106">
        <v>800000</v>
      </c>
      <c r="M490" s="106">
        <v>450000</v>
      </c>
      <c r="N490" s="106">
        <v>310000</v>
      </c>
      <c r="O490" s="106">
        <v>9000</v>
      </c>
      <c r="P490" s="106">
        <v>0</v>
      </c>
      <c r="Q490" s="106">
        <v>0</v>
      </c>
      <c r="R490" s="112">
        <f>SUM(K490-L490-L491-M490-M491-N490-O490)</f>
        <v>255001</v>
      </c>
    </row>
    <row r="491" spans="1:18" ht="14.25" customHeight="1">
      <c r="A491" s="77"/>
      <c r="B491" s="87"/>
      <c r="C491" s="77"/>
      <c r="D491" s="87"/>
      <c r="E491" s="87"/>
      <c r="F491" s="87"/>
      <c r="G491" s="8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</row>
    <row r="492" spans="1:18" ht="14.25" customHeight="1">
      <c r="A492" s="76">
        <v>250800051</v>
      </c>
      <c r="B492" s="76" t="s">
        <v>19</v>
      </c>
      <c r="C492" s="90" t="s">
        <v>20</v>
      </c>
      <c r="D492" s="76" t="s">
        <v>112</v>
      </c>
      <c r="E492" s="76" t="s">
        <v>398</v>
      </c>
      <c r="F492" s="76" t="s">
        <v>58</v>
      </c>
      <c r="G492" s="76" t="s">
        <v>56</v>
      </c>
      <c r="H492" s="92">
        <v>45883</v>
      </c>
      <c r="I492" s="92">
        <v>45885</v>
      </c>
      <c r="J492" s="113" t="s">
        <v>303</v>
      </c>
      <c r="K492" s="106">
        <v>5665635</v>
      </c>
      <c r="L492" s="106">
        <v>1800000</v>
      </c>
      <c r="M492" s="106">
        <v>1000000</v>
      </c>
      <c r="N492" s="106">
        <v>477000</v>
      </c>
      <c r="O492" s="106">
        <v>174000</v>
      </c>
      <c r="P492" s="106">
        <v>0</v>
      </c>
      <c r="Q492" s="106">
        <v>0</v>
      </c>
      <c r="R492" s="114">
        <f>SUM(K492-L492-M492-N492-O492-P492)</f>
        <v>2214635</v>
      </c>
    </row>
    <row r="493" spans="1:18" ht="14.2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</row>
    <row r="494" spans="1:18" ht="14.2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</row>
    <row r="495" spans="1:18" ht="14.25" customHeight="1">
      <c r="A495" s="77"/>
      <c r="B495" s="87"/>
      <c r="C495" s="77"/>
      <c r="D495" s="87"/>
      <c r="E495" s="87"/>
      <c r="F495" s="87"/>
      <c r="G495" s="8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</row>
    <row r="496" spans="1:18" ht="14.25" customHeight="1">
      <c r="A496" s="10">
        <v>250800052</v>
      </c>
      <c r="B496" s="10" t="s">
        <v>373</v>
      </c>
      <c r="C496" s="36" t="s">
        <v>28</v>
      </c>
      <c r="D496" s="10" t="s">
        <v>373</v>
      </c>
      <c r="E496" s="10" t="s">
        <v>395</v>
      </c>
      <c r="F496" s="10" t="s">
        <v>25</v>
      </c>
      <c r="G496" s="10" t="s">
        <v>17</v>
      </c>
      <c r="H496" s="11">
        <v>45884</v>
      </c>
      <c r="I496" s="11">
        <v>45884</v>
      </c>
      <c r="J496" s="12" t="s">
        <v>141</v>
      </c>
      <c r="K496" s="22">
        <v>912000</v>
      </c>
      <c r="L496" s="23">
        <v>375000</v>
      </c>
      <c r="M496" s="23">
        <v>225000</v>
      </c>
      <c r="N496" s="22">
        <v>225000</v>
      </c>
      <c r="O496" s="13">
        <v>0</v>
      </c>
      <c r="P496" s="22">
        <v>0</v>
      </c>
      <c r="Q496" s="22">
        <v>0</v>
      </c>
      <c r="R496" s="24">
        <f>SUM(K496-L496-M496-N496)</f>
        <v>87000</v>
      </c>
    </row>
    <row r="497" spans="1:18" ht="14.25" customHeight="1">
      <c r="A497" s="10">
        <v>250800053</v>
      </c>
      <c r="B497" s="10" t="s">
        <v>19</v>
      </c>
      <c r="C497" s="36" t="s">
        <v>20</v>
      </c>
      <c r="D497" s="10" t="s">
        <v>243</v>
      </c>
      <c r="E497" s="74" t="s">
        <v>399</v>
      </c>
      <c r="F497" s="10" t="s">
        <v>71</v>
      </c>
      <c r="G497" s="10" t="s">
        <v>299</v>
      </c>
      <c r="H497" s="11">
        <v>45884</v>
      </c>
      <c r="I497" s="16">
        <v>45884</v>
      </c>
      <c r="J497" s="17" t="s">
        <v>304</v>
      </c>
      <c r="K497" s="20">
        <v>2875000</v>
      </c>
      <c r="L497" s="23">
        <v>2500000</v>
      </c>
      <c r="M497" s="23">
        <v>250000</v>
      </c>
      <c r="N497" s="22">
        <v>0</v>
      </c>
      <c r="O497" s="22">
        <v>0</v>
      </c>
      <c r="P497" s="22">
        <v>0</v>
      </c>
      <c r="Q497" s="22">
        <v>0</v>
      </c>
      <c r="R497" s="24">
        <f t="shared" ref="R497:R499" si="15">SUM(K497-L497-M497-N497-O497)</f>
        <v>125000</v>
      </c>
    </row>
    <row r="498" spans="1:18" ht="14.25" customHeight="1">
      <c r="A498" s="10">
        <v>250800054</v>
      </c>
      <c r="B498" s="10" t="s">
        <v>19</v>
      </c>
      <c r="C498" s="36" t="s">
        <v>20</v>
      </c>
      <c r="D498" s="10" t="s">
        <v>243</v>
      </c>
      <c r="E498" s="74" t="s">
        <v>398</v>
      </c>
      <c r="F498" s="10" t="s">
        <v>58</v>
      </c>
      <c r="G498" s="10" t="s">
        <v>185</v>
      </c>
      <c r="H498" s="11">
        <v>45884</v>
      </c>
      <c r="I498" s="11">
        <v>45884</v>
      </c>
      <c r="J498" s="17" t="s">
        <v>304</v>
      </c>
      <c r="K498" s="20">
        <v>1132875</v>
      </c>
      <c r="L498" s="23">
        <v>600000</v>
      </c>
      <c r="M498" s="23">
        <v>250000</v>
      </c>
      <c r="N498" s="22">
        <v>175000</v>
      </c>
      <c r="O498" s="13">
        <v>40500</v>
      </c>
      <c r="P498" s="22">
        <v>0</v>
      </c>
      <c r="Q498" s="22">
        <v>0</v>
      </c>
      <c r="R498" s="24">
        <f t="shared" si="15"/>
        <v>67375</v>
      </c>
    </row>
    <row r="499" spans="1:18" ht="14.25" customHeight="1">
      <c r="A499" s="10">
        <v>250800055</v>
      </c>
      <c r="B499" s="10" t="s">
        <v>19</v>
      </c>
      <c r="C499" s="36" t="s">
        <v>20</v>
      </c>
      <c r="D499" s="10" t="s">
        <v>243</v>
      </c>
      <c r="E499" s="74" t="s">
        <v>398</v>
      </c>
      <c r="F499" s="10" t="s">
        <v>58</v>
      </c>
      <c r="G499" s="10" t="s">
        <v>67</v>
      </c>
      <c r="H499" s="11">
        <v>45884</v>
      </c>
      <c r="I499" s="11">
        <v>45884</v>
      </c>
      <c r="J499" s="17" t="s">
        <v>304</v>
      </c>
      <c r="K499" s="20">
        <v>1132875</v>
      </c>
      <c r="L499" s="23">
        <v>600000</v>
      </c>
      <c r="M499" s="23">
        <v>250000</v>
      </c>
      <c r="N499" s="22">
        <v>150000</v>
      </c>
      <c r="O499" s="13">
        <v>0</v>
      </c>
      <c r="P499" s="22">
        <v>0</v>
      </c>
      <c r="Q499" s="22">
        <v>0</v>
      </c>
      <c r="R499" s="24">
        <f t="shared" si="15"/>
        <v>132875</v>
      </c>
    </row>
    <row r="500" spans="1:18" ht="14.25" customHeight="1">
      <c r="A500" s="76">
        <v>250800056</v>
      </c>
      <c r="B500" s="76" t="s">
        <v>19</v>
      </c>
      <c r="C500" s="90" t="s">
        <v>20</v>
      </c>
      <c r="D500" s="76" t="s">
        <v>76</v>
      </c>
      <c r="E500" s="76" t="s">
        <v>395</v>
      </c>
      <c r="F500" s="76" t="s">
        <v>25</v>
      </c>
      <c r="G500" s="76" t="s">
        <v>39</v>
      </c>
      <c r="H500" s="92">
        <v>45885</v>
      </c>
      <c r="I500" s="92">
        <v>45887</v>
      </c>
      <c r="J500" s="113" t="s">
        <v>305</v>
      </c>
      <c r="K500" s="106">
        <v>4197500</v>
      </c>
      <c r="L500" s="108">
        <v>1200000</v>
      </c>
      <c r="M500" s="108">
        <v>900000</v>
      </c>
      <c r="N500" s="106">
        <v>550000</v>
      </c>
      <c r="O500" s="106">
        <v>75500</v>
      </c>
      <c r="P500" s="106">
        <v>0</v>
      </c>
      <c r="Q500" s="106"/>
      <c r="R500" s="114">
        <f>SUM(K500-L500-M500-N500-O500-P500)</f>
        <v>1472000</v>
      </c>
    </row>
    <row r="501" spans="1:18" ht="14.2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</row>
    <row r="502" spans="1:18" ht="14.2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</row>
    <row r="503" spans="1:18" ht="14.25" customHeight="1">
      <c r="A503" s="77"/>
      <c r="B503" s="87"/>
      <c r="C503" s="77"/>
      <c r="D503" s="87"/>
      <c r="E503" s="87"/>
      <c r="F503" s="87"/>
      <c r="G503" s="8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</row>
    <row r="504" spans="1:18" ht="14.25" customHeight="1">
      <c r="A504" s="76">
        <v>250800057</v>
      </c>
      <c r="B504" s="76" t="s">
        <v>19</v>
      </c>
      <c r="C504" s="90" t="s">
        <v>20</v>
      </c>
      <c r="D504" s="76" t="s">
        <v>51</v>
      </c>
      <c r="E504" s="76" t="s">
        <v>395</v>
      </c>
      <c r="F504" s="76" t="s">
        <v>25</v>
      </c>
      <c r="G504" s="76" t="s">
        <v>59</v>
      </c>
      <c r="H504" s="92">
        <v>45885</v>
      </c>
      <c r="I504" s="92">
        <v>45886</v>
      </c>
      <c r="J504" s="113" t="s">
        <v>306</v>
      </c>
      <c r="K504" s="106">
        <v>3338786</v>
      </c>
      <c r="L504" s="108">
        <v>800000</v>
      </c>
      <c r="M504" s="108">
        <v>600000</v>
      </c>
      <c r="N504" s="106">
        <v>415000</v>
      </c>
      <c r="O504" s="106">
        <v>124500</v>
      </c>
      <c r="P504" s="106">
        <v>0</v>
      </c>
      <c r="Q504" s="106">
        <v>0</v>
      </c>
      <c r="R504" s="114">
        <f>SUM(K504-L504-M504-N504-O504-P504)</f>
        <v>1399286</v>
      </c>
    </row>
    <row r="505" spans="1:18" ht="14.2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</row>
    <row r="506" spans="1:18" ht="14.25" customHeight="1">
      <c r="A506" s="77"/>
      <c r="B506" s="87"/>
      <c r="C506" s="77"/>
      <c r="D506" s="87"/>
      <c r="E506" s="87"/>
      <c r="F506" s="87"/>
      <c r="G506" s="8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</row>
    <row r="507" spans="1:18" ht="14.25" customHeight="1">
      <c r="A507" s="76">
        <v>250800058</v>
      </c>
      <c r="B507" s="76" t="s">
        <v>19</v>
      </c>
      <c r="C507" s="90" t="s">
        <v>20</v>
      </c>
      <c r="D507" s="76" t="s">
        <v>116</v>
      </c>
      <c r="E507" s="76" t="s">
        <v>395</v>
      </c>
      <c r="F507" s="76" t="s">
        <v>25</v>
      </c>
      <c r="G507" s="76" t="s">
        <v>17</v>
      </c>
      <c r="H507" s="92">
        <v>45885</v>
      </c>
      <c r="I507" s="92">
        <v>45886</v>
      </c>
      <c r="J507" s="113" t="s">
        <v>103</v>
      </c>
      <c r="K507" s="106">
        <v>750000</v>
      </c>
      <c r="L507" s="108">
        <v>400000</v>
      </c>
      <c r="M507" s="108">
        <v>200000</v>
      </c>
      <c r="N507" s="106">
        <v>40000</v>
      </c>
      <c r="O507" s="106">
        <v>0</v>
      </c>
      <c r="P507" s="106">
        <v>0</v>
      </c>
      <c r="Q507" s="106">
        <v>0</v>
      </c>
      <c r="R507" s="112">
        <f>SUM(K507-L507-L508-M507-M508-N507)</f>
        <v>110000</v>
      </c>
    </row>
    <row r="508" spans="1:18" ht="14.2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</row>
    <row r="509" spans="1:18" ht="14.25" customHeight="1">
      <c r="A509" s="10">
        <v>250800059</v>
      </c>
      <c r="B509" s="10" t="s">
        <v>307</v>
      </c>
      <c r="C509" s="36" t="s">
        <v>308</v>
      </c>
      <c r="D509" s="10" t="s">
        <v>307</v>
      </c>
      <c r="E509" s="74" t="s">
        <v>404</v>
      </c>
      <c r="F509" s="10" t="s">
        <v>106</v>
      </c>
      <c r="G509" s="10" t="s">
        <v>17</v>
      </c>
      <c r="H509" s="11">
        <v>45886</v>
      </c>
      <c r="I509" s="11">
        <v>45886</v>
      </c>
      <c r="J509" s="12" t="s">
        <v>221</v>
      </c>
      <c r="K509" s="25" t="s">
        <v>410</v>
      </c>
      <c r="L509" s="22">
        <v>250000</v>
      </c>
      <c r="M509" s="109" t="s">
        <v>309</v>
      </c>
      <c r="N509" s="110"/>
      <c r="O509" s="110"/>
      <c r="P509" s="110"/>
      <c r="Q509" s="111"/>
      <c r="R509" s="26"/>
    </row>
    <row r="510" spans="1:18" ht="14.25" customHeight="1">
      <c r="A510" s="10">
        <v>250800060</v>
      </c>
      <c r="B510" s="10" t="s">
        <v>131</v>
      </c>
      <c r="C510" s="36" t="s">
        <v>132</v>
      </c>
      <c r="D510" s="10" t="s">
        <v>131</v>
      </c>
      <c r="E510" s="74" t="s">
        <v>401</v>
      </c>
      <c r="F510" s="74" t="s">
        <v>408</v>
      </c>
      <c r="G510" s="10" t="s">
        <v>36</v>
      </c>
      <c r="H510" s="11">
        <v>45886</v>
      </c>
      <c r="I510" s="11">
        <v>45886</v>
      </c>
      <c r="J510" s="12" t="s">
        <v>310</v>
      </c>
      <c r="K510" s="22">
        <v>3126000</v>
      </c>
      <c r="L510" s="23">
        <v>500000</v>
      </c>
      <c r="M510" s="23">
        <v>275000</v>
      </c>
      <c r="N510" s="22">
        <v>414000</v>
      </c>
      <c r="O510" s="13">
        <v>268000</v>
      </c>
      <c r="P510" s="22">
        <v>0</v>
      </c>
      <c r="Q510" s="22">
        <v>0</v>
      </c>
      <c r="R510" s="24">
        <f>SUM(K510-L510-M510-N510-O510)</f>
        <v>1669000</v>
      </c>
    </row>
    <row r="511" spans="1:18" ht="14.25" customHeight="1">
      <c r="A511" s="15">
        <v>250801061</v>
      </c>
      <c r="B511" s="10" t="s">
        <v>373</v>
      </c>
      <c r="C511" s="36" t="s">
        <v>28</v>
      </c>
      <c r="D511" s="10" t="s">
        <v>142</v>
      </c>
      <c r="E511" s="10" t="s">
        <v>395</v>
      </c>
      <c r="F511" s="10" t="s">
        <v>25</v>
      </c>
      <c r="G511" s="10" t="s">
        <v>30</v>
      </c>
      <c r="H511" s="11">
        <v>45887</v>
      </c>
      <c r="I511" s="16">
        <v>45888</v>
      </c>
      <c r="J511" s="17" t="s">
        <v>230</v>
      </c>
      <c r="K511" s="106">
        <v>3648000</v>
      </c>
      <c r="L511" s="108">
        <v>1500000</v>
      </c>
      <c r="M511" s="108">
        <v>900000</v>
      </c>
      <c r="N511" s="106">
        <v>320000</v>
      </c>
      <c r="O511" s="106">
        <v>0</v>
      </c>
      <c r="P511" s="106">
        <v>20000</v>
      </c>
      <c r="Q511" s="106" t="s">
        <v>296</v>
      </c>
      <c r="R511" s="107">
        <f>SUM(K511-L511-L512-L513-L514-M511-M512-M513-M514-N511-N513-P511)</f>
        <v>908000</v>
      </c>
    </row>
    <row r="512" spans="1:18" ht="14.25" customHeight="1">
      <c r="A512" s="15">
        <v>250802061</v>
      </c>
      <c r="B512" s="10" t="s">
        <v>373</v>
      </c>
      <c r="C512" s="36" t="s">
        <v>28</v>
      </c>
      <c r="D512" s="10" t="s">
        <v>142</v>
      </c>
      <c r="E512" s="10" t="s">
        <v>395</v>
      </c>
      <c r="F512" s="10" t="s">
        <v>25</v>
      </c>
      <c r="G512" s="10" t="s">
        <v>30</v>
      </c>
      <c r="H512" s="11">
        <v>45887</v>
      </c>
      <c r="I512" s="16">
        <v>45888</v>
      </c>
      <c r="J512" s="17" t="s">
        <v>230</v>
      </c>
      <c r="K512" s="78"/>
      <c r="L512" s="78"/>
      <c r="M512" s="78"/>
      <c r="N512" s="78"/>
      <c r="O512" s="78"/>
      <c r="P512" s="78"/>
      <c r="Q512" s="78"/>
      <c r="R512" s="78"/>
    </row>
    <row r="513" spans="1:18" ht="14.25" customHeight="1">
      <c r="A513" s="15">
        <v>250803061</v>
      </c>
      <c r="B513" s="10" t="s">
        <v>373</v>
      </c>
      <c r="C513" s="36" t="s">
        <v>28</v>
      </c>
      <c r="D513" s="10" t="s">
        <v>142</v>
      </c>
      <c r="E513" s="10" t="s">
        <v>395</v>
      </c>
      <c r="F513" s="10" t="s">
        <v>25</v>
      </c>
      <c r="G513" s="10" t="s">
        <v>22</v>
      </c>
      <c r="H513" s="11">
        <v>45887</v>
      </c>
      <c r="I513" s="16">
        <v>45888</v>
      </c>
      <c r="J513" s="17" t="s">
        <v>230</v>
      </c>
      <c r="K513" s="78"/>
      <c r="L513" s="78"/>
      <c r="M513" s="78"/>
      <c r="N513" s="78"/>
      <c r="O513" s="78"/>
      <c r="P513" s="78"/>
      <c r="Q513" s="78"/>
      <c r="R513" s="78"/>
    </row>
    <row r="514" spans="1:18" ht="14.25" customHeight="1">
      <c r="A514" s="15">
        <v>250804061</v>
      </c>
      <c r="B514" s="10" t="s">
        <v>373</v>
      </c>
      <c r="C514" s="36" t="s">
        <v>28</v>
      </c>
      <c r="D514" s="10" t="s">
        <v>142</v>
      </c>
      <c r="E514" s="10" t="s">
        <v>395</v>
      </c>
      <c r="F514" s="10" t="s">
        <v>25</v>
      </c>
      <c r="G514" s="10" t="s">
        <v>22</v>
      </c>
      <c r="H514" s="11">
        <v>45887</v>
      </c>
      <c r="I514" s="16">
        <v>45888</v>
      </c>
      <c r="J514" s="17" t="s">
        <v>230</v>
      </c>
      <c r="K514" s="77"/>
      <c r="L514" s="77"/>
      <c r="M514" s="77"/>
      <c r="N514" s="77"/>
      <c r="O514" s="77"/>
      <c r="P514" s="77"/>
      <c r="Q514" s="77"/>
      <c r="R514" s="77"/>
    </row>
    <row r="515" spans="1:18" ht="14.25" customHeight="1">
      <c r="A515" s="10">
        <v>250800062</v>
      </c>
      <c r="B515" s="10" t="s">
        <v>370</v>
      </c>
      <c r="C515" s="10" t="s">
        <v>15</v>
      </c>
      <c r="D515" s="10" t="s">
        <v>382</v>
      </c>
      <c r="E515" s="74" t="s">
        <v>401</v>
      </c>
      <c r="F515" s="74" t="s">
        <v>408</v>
      </c>
      <c r="G515" s="10" t="s">
        <v>221</v>
      </c>
      <c r="H515" s="11">
        <v>45887</v>
      </c>
      <c r="I515" s="11">
        <v>45887</v>
      </c>
      <c r="J515" s="48" t="s">
        <v>221</v>
      </c>
      <c r="K515" s="49">
        <v>0</v>
      </c>
      <c r="L515" s="49">
        <v>500000</v>
      </c>
      <c r="M515" s="109" t="s">
        <v>309</v>
      </c>
      <c r="N515" s="110"/>
      <c r="O515" s="110"/>
      <c r="P515" s="110"/>
      <c r="Q515" s="111"/>
      <c r="R515" s="50"/>
    </row>
    <row r="516" spans="1:18" ht="14.25" customHeight="1">
      <c r="A516" s="76">
        <v>250800063</v>
      </c>
      <c r="B516" s="76" t="s">
        <v>19</v>
      </c>
      <c r="C516" s="90" t="s">
        <v>20</v>
      </c>
      <c r="D516" s="76" t="s">
        <v>55</v>
      </c>
      <c r="E516" s="76" t="s">
        <v>395</v>
      </c>
      <c r="F516" s="76" t="s">
        <v>25</v>
      </c>
      <c r="G516" s="76" t="s">
        <v>56</v>
      </c>
      <c r="H516" s="92">
        <v>45888</v>
      </c>
      <c r="I516" s="92">
        <v>45891</v>
      </c>
      <c r="J516" s="113" t="s">
        <v>311</v>
      </c>
      <c r="K516" s="106">
        <v>2947000</v>
      </c>
      <c r="L516" s="108">
        <v>1600000</v>
      </c>
      <c r="M516" s="108">
        <v>775000</v>
      </c>
      <c r="N516" s="106">
        <v>180000</v>
      </c>
      <c r="O516" s="106">
        <v>0</v>
      </c>
      <c r="P516" s="106">
        <v>0</v>
      </c>
      <c r="Q516" s="106">
        <v>0</v>
      </c>
      <c r="R516" s="112">
        <f>SUM(K516-L516-L517-L518-L519-M516-M517-M518-M519-N516)</f>
        <v>392000</v>
      </c>
    </row>
    <row r="517" spans="1:18" ht="14.2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</row>
    <row r="518" spans="1:18" ht="14.2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</row>
    <row r="519" spans="1:18" ht="14.2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</row>
    <row r="520" spans="1:18" ht="14.25" customHeight="1">
      <c r="A520" s="10">
        <v>250800064</v>
      </c>
      <c r="B520" s="10" t="s">
        <v>370</v>
      </c>
      <c r="C520" s="10" t="s">
        <v>15</v>
      </c>
      <c r="D520" s="10" t="s">
        <v>381</v>
      </c>
      <c r="E520" s="10" t="s">
        <v>395</v>
      </c>
      <c r="F520" s="10" t="s">
        <v>25</v>
      </c>
      <c r="G520" s="10" t="s">
        <v>56</v>
      </c>
      <c r="H520" s="11">
        <v>45892</v>
      </c>
      <c r="I520" s="11">
        <v>45892</v>
      </c>
      <c r="J520" s="12" t="s">
        <v>259</v>
      </c>
      <c r="K520" s="49">
        <v>380000</v>
      </c>
      <c r="L520" s="22">
        <v>250000</v>
      </c>
      <c r="M520" s="22">
        <v>100000</v>
      </c>
      <c r="N520" s="49">
        <v>0</v>
      </c>
      <c r="O520" s="49">
        <v>10000</v>
      </c>
      <c r="P520" s="49">
        <v>0</v>
      </c>
      <c r="Q520" s="49">
        <v>0</v>
      </c>
      <c r="R520" s="24">
        <f>SUM(K520-L520-M520-N520-O520-P520)</f>
        <v>20000</v>
      </c>
    </row>
    <row r="521" spans="1:18" ht="14.25" customHeight="1">
      <c r="A521" s="76">
        <v>250800065</v>
      </c>
      <c r="B521" s="76" t="s">
        <v>373</v>
      </c>
      <c r="C521" s="90" t="s">
        <v>28</v>
      </c>
      <c r="D521" s="76" t="s">
        <v>373</v>
      </c>
      <c r="E521" s="76" t="s">
        <v>395</v>
      </c>
      <c r="F521" s="76" t="s">
        <v>25</v>
      </c>
      <c r="G521" s="76" t="s">
        <v>312</v>
      </c>
      <c r="H521" s="92">
        <v>45888</v>
      </c>
      <c r="I521" s="92">
        <v>45889</v>
      </c>
      <c r="J521" s="113" t="s">
        <v>313</v>
      </c>
      <c r="K521" s="106">
        <v>1824000</v>
      </c>
      <c r="L521" s="108">
        <v>750000</v>
      </c>
      <c r="M521" s="108">
        <v>475000</v>
      </c>
      <c r="N521" s="106">
        <v>280000</v>
      </c>
      <c r="O521" s="106">
        <v>0</v>
      </c>
      <c r="P521" s="106">
        <v>0</v>
      </c>
      <c r="Q521" s="106">
        <v>0</v>
      </c>
      <c r="R521" s="112">
        <f>SUM(K521-L521-L522-M521-M522-N521)</f>
        <v>319000</v>
      </c>
    </row>
    <row r="522" spans="1:18" ht="14.25" customHeight="1">
      <c r="A522" s="77"/>
      <c r="B522" s="87"/>
      <c r="C522" s="77"/>
      <c r="D522" s="87"/>
      <c r="E522" s="87"/>
      <c r="F522" s="87"/>
      <c r="G522" s="8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</row>
    <row r="523" spans="1:18" ht="14.25" customHeight="1">
      <c r="A523" s="76">
        <v>250800066</v>
      </c>
      <c r="B523" s="76" t="s">
        <v>374</v>
      </c>
      <c r="C523" s="90" t="s">
        <v>104</v>
      </c>
      <c r="D523" s="76" t="s">
        <v>374</v>
      </c>
      <c r="E523" s="76" t="s">
        <v>395</v>
      </c>
      <c r="F523" s="76" t="s">
        <v>25</v>
      </c>
      <c r="G523" s="76" t="s">
        <v>36</v>
      </c>
      <c r="H523" s="92">
        <v>45888</v>
      </c>
      <c r="I523" s="92">
        <v>45889</v>
      </c>
      <c r="J523" s="113" t="s">
        <v>291</v>
      </c>
      <c r="K523" s="106">
        <v>1728000</v>
      </c>
      <c r="L523" s="108">
        <v>750000</v>
      </c>
      <c r="M523" s="108">
        <v>450000</v>
      </c>
      <c r="N523" s="106">
        <v>191000</v>
      </c>
      <c r="O523" s="106">
        <v>0</v>
      </c>
      <c r="P523" s="106">
        <v>0</v>
      </c>
      <c r="Q523" s="106">
        <v>0</v>
      </c>
      <c r="R523" s="112">
        <f>SUM(K523-L523-L524-M523-M524-N523)</f>
        <v>337000</v>
      </c>
    </row>
    <row r="524" spans="1:18" ht="14.25" customHeight="1">
      <c r="A524" s="77"/>
      <c r="B524" s="87"/>
      <c r="C524" s="77"/>
      <c r="D524" s="87"/>
      <c r="E524" s="87"/>
      <c r="F524" s="87"/>
      <c r="G524" s="8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</row>
    <row r="525" spans="1:18" ht="14.25" customHeight="1">
      <c r="A525" s="81">
        <v>250800067</v>
      </c>
      <c r="B525" s="81" t="s">
        <v>374</v>
      </c>
      <c r="C525" s="79" t="s">
        <v>104</v>
      </c>
      <c r="D525" s="81" t="s">
        <v>374</v>
      </c>
      <c r="E525" s="81" t="s">
        <v>395</v>
      </c>
      <c r="F525" s="81" t="s">
        <v>25</v>
      </c>
      <c r="G525" s="81" t="s">
        <v>39</v>
      </c>
      <c r="H525" s="99">
        <v>45888</v>
      </c>
      <c r="I525" s="92">
        <v>45889</v>
      </c>
      <c r="J525" s="113" t="s">
        <v>291</v>
      </c>
      <c r="K525" s="106">
        <v>1728000</v>
      </c>
      <c r="L525" s="108">
        <v>750000</v>
      </c>
      <c r="M525" s="108">
        <v>450000</v>
      </c>
      <c r="N525" s="106">
        <v>300000</v>
      </c>
      <c r="O525" s="106">
        <v>18000</v>
      </c>
      <c r="P525" s="106">
        <v>0</v>
      </c>
      <c r="Q525" s="106">
        <v>0</v>
      </c>
      <c r="R525" s="114">
        <f>SUM(K525-L525-M525-N525-O525-P525)</f>
        <v>210000</v>
      </c>
    </row>
    <row r="526" spans="1:18" ht="14.25" customHeight="1">
      <c r="A526" s="82"/>
      <c r="B526" s="82"/>
      <c r="C526" s="80"/>
      <c r="D526" s="82"/>
      <c r="E526" s="82"/>
      <c r="F526" s="82"/>
      <c r="G526" s="82"/>
      <c r="H526" s="101"/>
      <c r="I526" s="77"/>
      <c r="J526" s="77"/>
      <c r="K526" s="77"/>
      <c r="L526" s="77"/>
      <c r="M526" s="77"/>
      <c r="N526" s="77"/>
      <c r="O526" s="77"/>
      <c r="P526" s="77"/>
      <c r="Q526" s="77"/>
      <c r="R526" s="77"/>
    </row>
    <row r="527" spans="1:18" ht="14.25" customHeight="1">
      <c r="A527" s="10">
        <v>250800069</v>
      </c>
      <c r="B527" s="10" t="s">
        <v>370</v>
      </c>
      <c r="C527" s="36" t="s">
        <v>15</v>
      </c>
      <c r="D527" s="10" t="s">
        <v>381</v>
      </c>
      <c r="E527" s="10" t="s">
        <v>395</v>
      </c>
      <c r="F527" s="10" t="s">
        <v>25</v>
      </c>
      <c r="G527" s="10" t="s">
        <v>39</v>
      </c>
      <c r="H527" s="11">
        <v>45889</v>
      </c>
      <c r="I527" s="11">
        <v>45889</v>
      </c>
      <c r="J527" s="12" t="s">
        <v>146</v>
      </c>
      <c r="K527" s="49">
        <v>350000</v>
      </c>
      <c r="L527" s="49">
        <v>0</v>
      </c>
      <c r="M527" s="49">
        <v>100000</v>
      </c>
      <c r="N527" s="49">
        <v>0</v>
      </c>
      <c r="O527" s="49">
        <v>22000</v>
      </c>
      <c r="P527" s="49">
        <v>75000</v>
      </c>
      <c r="Q527" s="49" t="s">
        <v>314</v>
      </c>
      <c r="R527" s="24">
        <f>SUM(K527-L527-M527-N527-O527-P527)</f>
        <v>153000</v>
      </c>
    </row>
    <row r="528" spans="1:18" ht="14.25" customHeight="1">
      <c r="A528" s="81">
        <v>250800070</v>
      </c>
      <c r="B528" s="81" t="s">
        <v>373</v>
      </c>
      <c r="C528" s="79" t="s">
        <v>28</v>
      </c>
      <c r="D528" s="81" t="s">
        <v>373</v>
      </c>
      <c r="E528" s="81" t="s">
        <v>395</v>
      </c>
      <c r="F528" s="81" t="s">
        <v>25</v>
      </c>
      <c r="G528" s="81" t="s">
        <v>42</v>
      </c>
      <c r="H528" s="99">
        <v>45888</v>
      </c>
      <c r="I528" s="99">
        <v>45888</v>
      </c>
      <c r="J528" s="102" t="s">
        <v>315</v>
      </c>
      <c r="K528" s="106">
        <v>1824001</v>
      </c>
      <c r="L528" s="106">
        <v>775000</v>
      </c>
      <c r="M528" s="108">
        <v>450000</v>
      </c>
      <c r="N528" s="106">
        <v>352000</v>
      </c>
      <c r="O528" s="106">
        <v>0</v>
      </c>
      <c r="P528" s="106">
        <v>0</v>
      </c>
      <c r="Q528" s="106">
        <v>0</v>
      </c>
      <c r="R528" s="112">
        <f>SUM(K528-L528-L529-M528-M529-N528-N529)</f>
        <v>247001</v>
      </c>
    </row>
    <row r="529" spans="1:18" ht="14.25" customHeight="1">
      <c r="A529" s="82"/>
      <c r="B529" s="82"/>
      <c r="C529" s="80"/>
      <c r="D529" s="82"/>
      <c r="E529" s="82"/>
      <c r="F529" s="82"/>
      <c r="G529" s="82"/>
      <c r="H529" s="101"/>
      <c r="I529" s="101"/>
      <c r="J529" s="104"/>
      <c r="K529" s="77"/>
      <c r="L529" s="77"/>
      <c r="M529" s="77"/>
      <c r="N529" s="77"/>
      <c r="O529" s="77"/>
      <c r="P529" s="77"/>
      <c r="Q529" s="77"/>
      <c r="R529" s="77"/>
    </row>
    <row r="530" spans="1:18" ht="14.25" customHeight="1">
      <c r="A530" s="15">
        <v>250801071</v>
      </c>
      <c r="B530" s="10" t="s">
        <v>316</v>
      </c>
      <c r="C530" s="36" t="s">
        <v>317</v>
      </c>
      <c r="D530" s="10" t="s">
        <v>316</v>
      </c>
      <c r="E530" s="74" t="s">
        <v>397</v>
      </c>
      <c r="F530" s="27" t="s">
        <v>144</v>
      </c>
      <c r="G530" s="27" t="s">
        <v>59</v>
      </c>
      <c r="H530" s="11">
        <v>45888</v>
      </c>
      <c r="I530" s="11">
        <v>45888</v>
      </c>
      <c r="J530" s="17" t="s">
        <v>318</v>
      </c>
      <c r="K530" s="20">
        <v>2840000</v>
      </c>
      <c r="L530" s="20">
        <v>1250000</v>
      </c>
      <c r="M530" s="20">
        <v>300000</v>
      </c>
      <c r="N530" s="20">
        <v>233340</v>
      </c>
      <c r="O530" s="20">
        <v>142400</v>
      </c>
      <c r="P530" s="20">
        <v>60000</v>
      </c>
      <c r="Q530" s="106" t="s">
        <v>33</v>
      </c>
      <c r="R530" s="21">
        <f t="shared" ref="R530:R534" si="16">SUM(K530-L530-M530-N530-O530-P530)</f>
        <v>854260</v>
      </c>
    </row>
    <row r="531" spans="1:18" ht="14.25" customHeight="1">
      <c r="A531" s="15">
        <v>250802071</v>
      </c>
      <c r="B531" s="10" t="s">
        <v>316</v>
      </c>
      <c r="C531" s="36" t="s">
        <v>317</v>
      </c>
      <c r="D531" s="10" t="s">
        <v>316</v>
      </c>
      <c r="E531" s="74" t="s">
        <v>397</v>
      </c>
      <c r="F531" s="27" t="s">
        <v>144</v>
      </c>
      <c r="G531" s="27" t="s">
        <v>319</v>
      </c>
      <c r="H531" s="11">
        <v>45888</v>
      </c>
      <c r="I531" s="11">
        <v>45888</v>
      </c>
      <c r="J531" s="17" t="s">
        <v>318</v>
      </c>
      <c r="K531" s="20">
        <v>2840000</v>
      </c>
      <c r="L531" s="20">
        <v>1250000</v>
      </c>
      <c r="M531" s="20">
        <v>300000</v>
      </c>
      <c r="N531" s="20">
        <v>233340</v>
      </c>
      <c r="O531" s="20">
        <v>142400</v>
      </c>
      <c r="P531" s="20">
        <v>60000</v>
      </c>
      <c r="Q531" s="78"/>
      <c r="R531" s="21">
        <f t="shared" si="16"/>
        <v>854260</v>
      </c>
    </row>
    <row r="532" spans="1:18" ht="14.25" customHeight="1">
      <c r="A532" s="15">
        <v>250803071</v>
      </c>
      <c r="B532" s="10" t="s">
        <v>316</v>
      </c>
      <c r="C532" s="36" t="s">
        <v>317</v>
      </c>
      <c r="D532" s="10" t="s">
        <v>316</v>
      </c>
      <c r="E532" s="74" t="s">
        <v>397</v>
      </c>
      <c r="F532" s="27" t="s">
        <v>144</v>
      </c>
      <c r="G532" s="27" t="s">
        <v>320</v>
      </c>
      <c r="H532" s="11">
        <v>45888</v>
      </c>
      <c r="I532" s="11">
        <v>45888</v>
      </c>
      <c r="J532" s="17" t="s">
        <v>318</v>
      </c>
      <c r="K532" s="20">
        <v>2840000</v>
      </c>
      <c r="L532" s="20">
        <v>1250000</v>
      </c>
      <c r="M532" s="20">
        <v>300000</v>
      </c>
      <c r="N532" s="20">
        <v>233340</v>
      </c>
      <c r="O532" s="20">
        <v>142400</v>
      </c>
      <c r="P532" s="20">
        <v>60000</v>
      </c>
      <c r="Q532" s="78"/>
      <c r="R532" s="21">
        <f t="shared" si="16"/>
        <v>854260</v>
      </c>
    </row>
    <row r="533" spans="1:18" ht="14.25" customHeight="1">
      <c r="A533" s="15">
        <v>250804071</v>
      </c>
      <c r="B533" s="10" t="s">
        <v>316</v>
      </c>
      <c r="C533" s="36" t="s">
        <v>317</v>
      </c>
      <c r="D533" s="10" t="s">
        <v>316</v>
      </c>
      <c r="E533" s="74" t="s">
        <v>397</v>
      </c>
      <c r="F533" s="27" t="s">
        <v>144</v>
      </c>
      <c r="G533" s="27" t="s">
        <v>321</v>
      </c>
      <c r="H533" s="11">
        <v>45888</v>
      </c>
      <c r="I533" s="11">
        <v>45888</v>
      </c>
      <c r="J533" s="17" t="s">
        <v>318</v>
      </c>
      <c r="K533" s="20">
        <v>2840000</v>
      </c>
      <c r="L533" s="20">
        <v>1250000</v>
      </c>
      <c r="M533" s="20">
        <v>300000</v>
      </c>
      <c r="N533" s="20">
        <v>233340</v>
      </c>
      <c r="O533" s="20">
        <v>142400</v>
      </c>
      <c r="P533" s="20">
        <v>60000</v>
      </c>
      <c r="Q533" s="78"/>
      <c r="R533" s="21">
        <f t="shared" si="16"/>
        <v>854260</v>
      </c>
    </row>
    <row r="534" spans="1:18" ht="14.25" customHeight="1">
      <c r="A534" s="15">
        <v>250805071</v>
      </c>
      <c r="B534" s="10" t="s">
        <v>316</v>
      </c>
      <c r="C534" s="36" t="s">
        <v>317</v>
      </c>
      <c r="D534" s="10" t="s">
        <v>316</v>
      </c>
      <c r="E534" s="74" t="s">
        <v>397</v>
      </c>
      <c r="F534" s="27" t="s">
        <v>144</v>
      </c>
      <c r="G534" s="27" t="s">
        <v>322</v>
      </c>
      <c r="H534" s="11">
        <v>45888</v>
      </c>
      <c r="I534" s="11">
        <v>45888</v>
      </c>
      <c r="J534" s="12" t="s">
        <v>318</v>
      </c>
      <c r="K534" s="23">
        <v>2840000</v>
      </c>
      <c r="L534" s="23">
        <v>1250000</v>
      </c>
      <c r="M534" s="23">
        <v>300000</v>
      </c>
      <c r="N534" s="23">
        <v>233340</v>
      </c>
      <c r="O534" s="23">
        <v>142400</v>
      </c>
      <c r="P534" s="23">
        <v>60000</v>
      </c>
      <c r="Q534" s="77"/>
      <c r="R534" s="21">
        <f t="shared" si="16"/>
        <v>854260</v>
      </c>
    </row>
    <row r="535" spans="1:18" ht="14.25" customHeight="1">
      <c r="A535" s="10">
        <v>250800072</v>
      </c>
      <c r="B535" s="10" t="s">
        <v>370</v>
      </c>
      <c r="C535" s="36" t="s">
        <v>15</v>
      </c>
      <c r="D535" s="27" t="s">
        <v>381</v>
      </c>
      <c r="E535" s="10" t="s">
        <v>395</v>
      </c>
      <c r="F535" s="27" t="s">
        <v>25</v>
      </c>
      <c r="G535" s="27" t="s">
        <v>74</v>
      </c>
      <c r="H535" s="11">
        <v>45888</v>
      </c>
      <c r="I535" s="11">
        <v>45888</v>
      </c>
      <c r="J535" s="51" t="s">
        <v>146</v>
      </c>
      <c r="K535" s="52">
        <v>350000</v>
      </c>
      <c r="L535" s="52">
        <v>0</v>
      </c>
      <c r="M535" s="52">
        <v>100000</v>
      </c>
      <c r="N535" s="52">
        <v>0</v>
      </c>
      <c r="O535" s="52">
        <v>22000</v>
      </c>
      <c r="P535" s="52">
        <v>0</v>
      </c>
      <c r="Q535" s="49">
        <v>0</v>
      </c>
      <c r="R535" s="53">
        <f>SUM(K535-M535-O535)</f>
        <v>228000</v>
      </c>
    </row>
    <row r="536" spans="1:18" ht="14.25" customHeight="1">
      <c r="A536" s="76">
        <v>250800073</v>
      </c>
      <c r="B536" s="81" t="s">
        <v>19</v>
      </c>
      <c r="C536" s="79" t="s">
        <v>20</v>
      </c>
      <c r="D536" s="81" t="s">
        <v>51</v>
      </c>
      <c r="E536" s="81" t="s">
        <v>398</v>
      </c>
      <c r="F536" s="81" t="s">
        <v>58</v>
      </c>
      <c r="G536" s="81" t="s">
        <v>61</v>
      </c>
      <c r="H536" s="92">
        <v>45888</v>
      </c>
      <c r="I536" s="92">
        <v>45890</v>
      </c>
      <c r="J536" s="113" t="s">
        <v>323</v>
      </c>
      <c r="K536" s="106">
        <v>5666000</v>
      </c>
      <c r="L536" s="108">
        <v>1800000</v>
      </c>
      <c r="M536" s="108">
        <v>1000000</v>
      </c>
      <c r="N536" s="106">
        <v>532000</v>
      </c>
      <c r="O536" s="106">
        <v>124500</v>
      </c>
      <c r="P536" s="106">
        <v>0</v>
      </c>
      <c r="Q536" s="106">
        <v>0</v>
      </c>
      <c r="R536" s="112">
        <f>SUM(K536-L536-L537-L538-L539-M536-M537-M538-M539-N536-O536)</f>
        <v>2209500</v>
      </c>
    </row>
    <row r="537" spans="1:18" ht="14.25" customHeight="1">
      <c r="A537" s="78"/>
      <c r="B537" s="88"/>
      <c r="C537" s="105"/>
      <c r="D537" s="88"/>
      <c r="E537" s="88"/>
      <c r="F537" s="88"/>
      <c r="G537" s="8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</row>
    <row r="538" spans="1:18" ht="14.25" customHeight="1">
      <c r="A538" s="78"/>
      <c r="B538" s="88"/>
      <c r="C538" s="105"/>
      <c r="D538" s="88"/>
      <c r="E538" s="88"/>
      <c r="F538" s="88"/>
      <c r="G538" s="8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</row>
    <row r="539" spans="1:18" ht="14.25" customHeight="1">
      <c r="A539" s="77"/>
      <c r="B539" s="82"/>
      <c r="C539" s="80"/>
      <c r="D539" s="82"/>
      <c r="E539" s="82"/>
      <c r="F539" s="82"/>
      <c r="G539" s="82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</row>
    <row r="540" spans="1:18" ht="14.25" customHeight="1">
      <c r="A540" s="81">
        <v>250800074</v>
      </c>
      <c r="B540" s="81" t="s">
        <v>324</v>
      </c>
      <c r="C540" s="79" t="s">
        <v>325</v>
      </c>
      <c r="D540" s="81" t="s">
        <v>324</v>
      </c>
      <c r="E540" s="81" t="s">
        <v>401</v>
      </c>
      <c r="F540" s="81" t="s">
        <v>408</v>
      </c>
      <c r="G540" s="81" t="s">
        <v>30</v>
      </c>
      <c r="H540" s="92">
        <v>45889</v>
      </c>
      <c r="I540" s="92">
        <v>45891</v>
      </c>
      <c r="J540" s="113" t="s">
        <v>326</v>
      </c>
      <c r="K540" s="106">
        <v>4962000</v>
      </c>
      <c r="L540" s="108">
        <v>1500000</v>
      </c>
      <c r="M540" s="108">
        <v>540000</v>
      </c>
      <c r="N540" s="106">
        <v>200000</v>
      </c>
      <c r="O540" s="106">
        <v>212000</v>
      </c>
      <c r="P540" s="106">
        <v>0</v>
      </c>
      <c r="Q540" s="106">
        <v>0</v>
      </c>
      <c r="R540" s="114">
        <f>SUM(K540-L540-M540-N540-O540-P540)</f>
        <v>2510000</v>
      </c>
    </row>
    <row r="541" spans="1:18" ht="14.25" customHeight="1">
      <c r="A541" s="88"/>
      <c r="B541" s="88"/>
      <c r="C541" s="105"/>
      <c r="D541" s="88"/>
      <c r="E541" s="88"/>
      <c r="F541" s="88"/>
      <c r="G541" s="8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</row>
    <row r="542" spans="1:18" ht="14.25" customHeight="1">
      <c r="A542" s="82"/>
      <c r="B542" s="82"/>
      <c r="C542" s="80"/>
      <c r="D542" s="82"/>
      <c r="E542" s="82"/>
      <c r="F542" s="82"/>
      <c r="G542" s="82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</row>
    <row r="543" spans="1:18" ht="14.25" customHeight="1">
      <c r="A543" s="15">
        <v>250801075</v>
      </c>
      <c r="B543" s="10" t="s">
        <v>371</v>
      </c>
      <c r="C543" s="36" t="s">
        <v>32</v>
      </c>
      <c r="D543" s="10" t="s">
        <v>380</v>
      </c>
      <c r="E543" s="74" t="s">
        <v>398</v>
      </c>
      <c r="F543" s="10" t="s">
        <v>58</v>
      </c>
      <c r="G543" s="10" t="s">
        <v>22</v>
      </c>
      <c r="H543" s="11">
        <v>45889</v>
      </c>
      <c r="I543" s="54">
        <v>45889</v>
      </c>
      <c r="J543" s="17" t="s">
        <v>327</v>
      </c>
      <c r="K543" s="68">
        <v>950000</v>
      </c>
      <c r="L543" s="68">
        <v>361250</v>
      </c>
      <c r="M543" s="68">
        <v>175000</v>
      </c>
      <c r="N543" s="68">
        <v>38750</v>
      </c>
      <c r="O543" s="68">
        <v>79000</v>
      </c>
      <c r="P543" s="68">
        <v>87500</v>
      </c>
      <c r="Q543" s="20" t="s">
        <v>33</v>
      </c>
      <c r="R543" s="69">
        <f>SUM(K543-L543-M543-N543-O543-P543)</f>
        <v>208500</v>
      </c>
    </row>
    <row r="544" spans="1:18" ht="14.25" customHeight="1">
      <c r="A544" s="15">
        <v>250802075</v>
      </c>
      <c r="B544" s="10" t="s">
        <v>371</v>
      </c>
      <c r="C544" s="36" t="s">
        <v>32</v>
      </c>
      <c r="D544" s="10" t="s">
        <v>380</v>
      </c>
      <c r="E544" s="74" t="s">
        <v>398</v>
      </c>
      <c r="F544" s="10" t="s">
        <v>58</v>
      </c>
      <c r="G544" s="10" t="s">
        <v>59</v>
      </c>
      <c r="H544" s="11">
        <v>45889</v>
      </c>
      <c r="I544" s="54">
        <v>45889</v>
      </c>
      <c r="J544" s="17" t="s">
        <v>327</v>
      </c>
      <c r="K544" s="68">
        <v>950000</v>
      </c>
      <c r="L544" s="68">
        <v>361250</v>
      </c>
      <c r="M544" s="68">
        <v>175000</v>
      </c>
      <c r="N544" s="68">
        <v>38750</v>
      </c>
      <c r="O544" s="68">
        <v>79000</v>
      </c>
      <c r="P544" s="68">
        <v>87500</v>
      </c>
      <c r="Q544" s="20" t="s">
        <v>33</v>
      </c>
      <c r="R544" s="69">
        <f t="shared" ref="R544:R546" si="17">SUM(K544-L544-M544-N544-O544-P544)</f>
        <v>208500</v>
      </c>
    </row>
    <row r="545" spans="1:18" ht="14.25" customHeight="1">
      <c r="A545" s="15">
        <v>250803075</v>
      </c>
      <c r="B545" s="10" t="s">
        <v>371</v>
      </c>
      <c r="C545" s="36" t="s">
        <v>32</v>
      </c>
      <c r="D545" s="10" t="s">
        <v>380</v>
      </c>
      <c r="E545" s="74" t="s">
        <v>400</v>
      </c>
      <c r="F545" s="10" t="s">
        <v>81</v>
      </c>
      <c r="G545" s="10" t="s">
        <v>17</v>
      </c>
      <c r="H545" s="11">
        <v>45889</v>
      </c>
      <c r="I545" s="54">
        <v>45889</v>
      </c>
      <c r="J545" s="17" t="s">
        <v>327</v>
      </c>
      <c r="K545" s="68">
        <v>950000</v>
      </c>
      <c r="L545" s="68">
        <v>361250</v>
      </c>
      <c r="M545" s="68">
        <v>175000</v>
      </c>
      <c r="N545" s="68">
        <v>38750</v>
      </c>
      <c r="O545" s="68">
        <v>79000</v>
      </c>
      <c r="P545" s="68">
        <v>87500</v>
      </c>
      <c r="Q545" s="20" t="s">
        <v>33</v>
      </c>
      <c r="R545" s="69">
        <f t="shared" si="17"/>
        <v>208500</v>
      </c>
    </row>
    <row r="546" spans="1:18" ht="14.25" customHeight="1">
      <c r="A546" s="15">
        <v>250804075</v>
      </c>
      <c r="B546" s="10" t="s">
        <v>371</v>
      </c>
      <c r="C546" s="36" t="s">
        <v>32</v>
      </c>
      <c r="D546" s="10" t="s">
        <v>380</v>
      </c>
      <c r="E546" s="74" t="s">
        <v>400</v>
      </c>
      <c r="F546" s="10" t="s">
        <v>81</v>
      </c>
      <c r="G546" s="10" t="s">
        <v>30</v>
      </c>
      <c r="H546" s="54">
        <v>45889</v>
      </c>
      <c r="I546" s="54">
        <v>45889</v>
      </c>
      <c r="J546" s="17" t="s">
        <v>327</v>
      </c>
      <c r="K546" s="68">
        <v>950000</v>
      </c>
      <c r="L546" s="68">
        <v>361250</v>
      </c>
      <c r="M546" s="68">
        <v>175000</v>
      </c>
      <c r="N546" s="68">
        <v>38750</v>
      </c>
      <c r="O546" s="68">
        <v>79000</v>
      </c>
      <c r="P546" s="68">
        <v>87500</v>
      </c>
      <c r="Q546" s="20" t="s">
        <v>33</v>
      </c>
      <c r="R546" s="69">
        <f t="shared" si="17"/>
        <v>208500</v>
      </c>
    </row>
    <row r="547" spans="1:18" ht="14.25" customHeight="1">
      <c r="A547" s="76">
        <v>250800076</v>
      </c>
      <c r="B547" s="76" t="s">
        <v>373</v>
      </c>
      <c r="C547" s="90" t="s">
        <v>28</v>
      </c>
      <c r="D547" s="76" t="s">
        <v>142</v>
      </c>
      <c r="E547" s="76" t="s">
        <v>395</v>
      </c>
      <c r="F547" s="76" t="s">
        <v>25</v>
      </c>
      <c r="G547" s="76" t="s">
        <v>39</v>
      </c>
      <c r="H547" s="92">
        <v>45890</v>
      </c>
      <c r="I547" s="92">
        <v>45891</v>
      </c>
      <c r="J547" s="113" t="s">
        <v>165</v>
      </c>
      <c r="K547" s="106">
        <v>1921000</v>
      </c>
      <c r="L547" s="108">
        <v>750000</v>
      </c>
      <c r="M547" s="108">
        <v>450000</v>
      </c>
      <c r="N547" s="106">
        <v>275000</v>
      </c>
      <c r="O547" s="106">
        <v>0</v>
      </c>
      <c r="P547" s="106">
        <v>0</v>
      </c>
      <c r="Q547" s="106">
        <v>0</v>
      </c>
      <c r="R547" s="112">
        <f>SUM(K547-L547-L548-M547-M548-N547)</f>
        <v>446000</v>
      </c>
    </row>
    <row r="548" spans="1:18" ht="14.2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87"/>
      <c r="M548" s="77"/>
      <c r="N548" s="77"/>
      <c r="O548" s="77"/>
      <c r="P548" s="77"/>
      <c r="Q548" s="77"/>
      <c r="R548" s="77"/>
    </row>
    <row r="549" spans="1:18" ht="14.25" customHeight="1">
      <c r="A549" s="76">
        <v>250800077</v>
      </c>
      <c r="B549" s="76" t="s">
        <v>373</v>
      </c>
      <c r="C549" s="90" t="s">
        <v>28</v>
      </c>
      <c r="D549" s="76" t="s">
        <v>142</v>
      </c>
      <c r="E549" s="76" t="s">
        <v>395</v>
      </c>
      <c r="F549" s="76" t="s">
        <v>25</v>
      </c>
      <c r="G549" s="76" t="s">
        <v>328</v>
      </c>
      <c r="H549" s="92">
        <v>45890</v>
      </c>
      <c r="I549" s="92">
        <v>45891</v>
      </c>
      <c r="J549" s="113" t="s">
        <v>165</v>
      </c>
      <c r="K549" s="106">
        <v>1921000</v>
      </c>
      <c r="L549" s="108">
        <v>750000</v>
      </c>
      <c r="M549" s="108">
        <v>500000</v>
      </c>
      <c r="N549" s="106">
        <v>330000</v>
      </c>
      <c r="O549" s="106">
        <v>0</v>
      </c>
      <c r="P549" s="106">
        <v>0</v>
      </c>
      <c r="Q549" s="106">
        <v>0</v>
      </c>
      <c r="R549" s="112">
        <f>SUM(K549-L549-L550-M549-M550-N549)</f>
        <v>341000</v>
      </c>
    </row>
    <row r="550" spans="1:18" ht="14.2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87"/>
      <c r="M550" s="77"/>
      <c r="N550" s="77"/>
      <c r="O550" s="77"/>
      <c r="P550" s="77"/>
      <c r="Q550" s="77"/>
      <c r="R550" s="77"/>
    </row>
    <row r="551" spans="1:18" ht="14.25" customHeight="1">
      <c r="A551" s="76">
        <v>250800078</v>
      </c>
      <c r="B551" s="76" t="s">
        <v>373</v>
      </c>
      <c r="C551" s="90" t="s">
        <v>28</v>
      </c>
      <c r="D551" s="76" t="s">
        <v>329</v>
      </c>
      <c r="E551" s="76" t="s">
        <v>395</v>
      </c>
      <c r="F551" s="76" t="s">
        <v>25</v>
      </c>
      <c r="G551" s="76" t="s">
        <v>36</v>
      </c>
      <c r="H551" s="92">
        <v>45890</v>
      </c>
      <c r="I551" s="92">
        <v>45891</v>
      </c>
      <c r="J551" s="113" t="s">
        <v>165</v>
      </c>
      <c r="K551" s="106">
        <v>1921000</v>
      </c>
      <c r="L551" s="108">
        <v>750000</v>
      </c>
      <c r="M551" s="108">
        <v>500000</v>
      </c>
      <c r="N551" s="106">
        <v>275000</v>
      </c>
      <c r="O551" s="106">
        <v>0</v>
      </c>
      <c r="P551" s="106">
        <v>0</v>
      </c>
      <c r="Q551" s="106">
        <v>0</v>
      </c>
      <c r="R551" s="112">
        <f>SUM(K551-L551-L552-M551-M552-N551)</f>
        <v>396000</v>
      </c>
    </row>
    <row r="552" spans="1:18" ht="14.2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87"/>
      <c r="M552" s="77"/>
      <c r="N552" s="77"/>
      <c r="O552" s="77"/>
      <c r="P552" s="77"/>
      <c r="Q552" s="77"/>
      <c r="R552" s="77"/>
    </row>
    <row r="553" spans="1:18" ht="14.25" customHeight="1">
      <c r="A553" s="76">
        <v>250800079</v>
      </c>
      <c r="B553" s="76" t="s">
        <v>373</v>
      </c>
      <c r="C553" s="90" t="s">
        <v>28</v>
      </c>
      <c r="D553" s="76" t="s">
        <v>330</v>
      </c>
      <c r="E553" s="76" t="s">
        <v>395</v>
      </c>
      <c r="F553" s="76" t="s">
        <v>25</v>
      </c>
      <c r="G553" s="76" t="s">
        <v>42</v>
      </c>
      <c r="H553" s="92">
        <v>45890</v>
      </c>
      <c r="I553" s="92">
        <v>45891</v>
      </c>
      <c r="J553" s="113" t="s">
        <v>165</v>
      </c>
      <c r="K553" s="106">
        <v>1921000</v>
      </c>
      <c r="L553" s="108">
        <v>750000</v>
      </c>
      <c r="M553" s="108">
        <v>500000</v>
      </c>
      <c r="N553" s="106">
        <v>250000</v>
      </c>
      <c r="O553" s="106">
        <v>0</v>
      </c>
      <c r="P553" s="106">
        <v>0</v>
      </c>
      <c r="Q553" s="106">
        <v>0</v>
      </c>
      <c r="R553" s="112">
        <f>SUM(K553-L553-L554-M553-M554-N553)</f>
        <v>421000</v>
      </c>
    </row>
    <row r="554" spans="1:18" ht="14.2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87"/>
      <c r="M554" s="77"/>
      <c r="N554" s="77"/>
      <c r="O554" s="77"/>
      <c r="P554" s="77"/>
      <c r="Q554" s="77"/>
      <c r="R554" s="77"/>
    </row>
    <row r="555" spans="1:18" ht="14.25" customHeight="1">
      <c r="A555" s="76">
        <v>250800080</v>
      </c>
      <c r="B555" s="76" t="s">
        <v>373</v>
      </c>
      <c r="C555" s="90" t="s">
        <v>28</v>
      </c>
      <c r="D555" s="76" t="s">
        <v>29</v>
      </c>
      <c r="E555" s="76" t="s">
        <v>395</v>
      </c>
      <c r="F555" s="76" t="s">
        <v>25</v>
      </c>
      <c r="G555" s="76" t="s">
        <v>331</v>
      </c>
      <c r="H555" s="92">
        <v>45890</v>
      </c>
      <c r="I555" s="92">
        <v>45891</v>
      </c>
      <c r="J555" s="113" t="s">
        <v>165</v>
      </c>
      <c r="K555" s="106">
        <v>1921000</v>
      </c>
      <c r="L555" s="108">
        <v>800000</v>
      </c>
      <c r="M555" s="108">
        <v>500000</v>
      </c>
      <c r="N555" s="106">
        <v>255000</v>
      </c>
      <c r="O555" s="106">
        <v>0</v>
      </c>
      <c r="P555" s="106">
        <v>0</v>
      </c>
      <c r="Q555" s="106">
        <v>0</v>
      </c>
      <c r="R555" s="112">
        <f>SUM(K555-L555-L556-M555-M556-N555)</f>
        <v>366000</v>
      </c>
    </row>
    <row r="556" spans="1:18" ht="14.2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87"/>
      <c r="M556" s="77"/>
      <c r="N556" s="77"/>
      <c r="O556" s="77"/>
      <c r="P556" s="77"/>
      <c r="Q556" s="77"/>
      <c r="R556" s="77"/>
    </row>
    <row r="557" spans="1:18" ht="14.25" customHeight="1">
      <c r="A557" s="76">
        <v>250800081</v>
      </c>
      <c r="B557" s="76" t="s">
        <v>65</v>
      </c>
      <c r="C557" s="90" t="s">
        <v>66</v>
      </c>
      <c r="D557" s="76" t="s">
        <v>207</v>
      </c>
      <c r="E557" s="76" t="s">
        <v>398</v>
      </c>
      <c r="F557" s="76" t="s">
        <v>58</v>
      </c>
      <c r="G557" s="76" t="s">
        <v>22</v>
      </c>
      <c r="H557" s="92">
        <v>45890</v>
      </c>
      <c r="I557" s="92">
        <v>45891</v>
      </c>
      <c r="J557" s="113" t="s">
        <v>102</v>
      </c>
      <c r="K557" s="106">
        <v>2773500</v>
      </c>
      <c r="L557" s="108">
        <v>1200000</v>
      </c>
      <c r="M557" s="108">
        <v>500000</v>
      </c>
      <c r="N557" s="106">
        <v>325000</v>
      </c>
      <c r="O557" s="106">
        <v>173500</v>
      </c>
      <c r="P557" s="106">
        <v>100000</v>
      </c>
      <c r="Q557" s="106" t="s">
        <v>24</v>
      </c>
      <c r="R557" s="114">
        <f>SUM(K557-L557-M557-N557-O557-P557)</f>
        <v>475000</v>
      </c>
    </row>
    <row r="558" spans="1:18" ht="14.2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</row>
    <row r="559" spans="1:18" ht="14.25" customHeight="1">
      <c r="A559" s="76">
        <v>250800082</v>
      </c>
      <c r="B559" s="76" t="s">
        <v>372</v>
      </c>
      <c r="C559" s="90" t="s">
        <v>121</v>
      </c>
      <c r="D559" s="76" t="s">
        <v>372</v>
      </c>
      <c r="E559" s="76" t="s">
        <v>398</v>
      </c>
      <c r="F559" s="76" t="s">
        <v>58</v>
      </c>
      <c r="G559" s="76" t="s">
        <v>67</v>
      </c>
      <c r="H559" s="92">
        <v>45890</v>
      </c>
      <c r="I559" s="92">
        <v>45891</v>
      </c>
      <c r="J559" s="113" t="s">
        <v>332</v>
      </c>
      <c r="K559" s="106">
        <v>3173500</v>
      </c>
      <c r="L559" s="108">
        <v>1200000</v>
      </c>
      <c r="M559" s="108">
        <v>500000</v>
      </c>
      <c r="N559" s="106">
        <v>435000</v>
      </c>
      <c r="O559" s="106">
        <v>291500</v>
      </c>
      <c r="P559" s="106">
        <v>100000</v>
      </c>
      <c r="Q559" s="106" t="s">
        <v>250</v>
      </c>
      <c r="R559" s="114">
        <f>SUM(K559-L559-M559-N559-O559-P559)</f>
        <v>647000</v>
      </c>
    </row>
    <row r="560" spans="1:18" ht="14.2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</row>
    <row r="561" spans="1:18" ht="14.25" customHeight="1">
      <c r="A561" s="15">
        <v>250801083</v>
      </c>
      <c r="B561" s="10" t="s">
        <v>316</v>
      </c>
      <c r="C561" s="36" t="s">
        <v>317</v>
      </c>
      <c r="D561" s="10" t="s">
        <v>316</v>
      </c>
      <c r="E561" s="74" t="s">
        <v>397</v>
      </c>
      <c r="F561" s="10" t="s">
        <v>144</v>
      </c>
      <c r="G561" s="10" t="s">
        <v>22</v>
      </c>
      <c r="H561" s="11">
        <v>45890</v>
      </c>
      <c r="I561" s="11">
        <v>45890</v>
      </c>
      <c r="J561" s="17" t="s">
        <v>333</v>
      </c>
      <c r="K561" s="20">
        <v>3000000</v>
      </c>
      <c r="L561" s="23">
        <v>1500000</v>
      </c>
      <c r="M561" s="23">
        <v>300000</v>
      </c>
      <c r="N561" s="23">
        <v>190000</v>
      </c>
      <c r="O561" s="23">
        <v>145000</v>
      </c>
      <c r="P561" s="23">
        <v>50000</v>
      </c>
      <c r="Q561" s="23" t="s">
        <v>33</v>
      </c>
      <c r="R561" s="21">
        <f t="shared" ref="R561:R566" si="18">SUM(K561-L561-M561-N561-O561-P561)</f>
        <v>815000</v>
      </c>
    </row>
    <row r="562" spans="1:18" ht="14.25" customHeight="1">
      <c r="A562" s="15">
        <v>250802083</v>
      </c>
      <c r="B562" s="10" t="s">
        <v>316</v>
      </c>
      <c r="C562" s="36" t="s">
        <v>317</v>
      </c>
      <c r="D562" s="10" t="s">
        <v>316</v>
      </c>
      <c r="E562" s="74" t="s">
        <v>397</v>
      </c>
      <c r="F562" s="10" t="s">
        <v>144</v>
      </c>
      <c r="G562" s="10" t="s">
        <v>334</v>
      </c>
      <c r="H562" s="11">
        <v>45890</v>
      </c>
      <c r="I562" s="11">
        <v>45890</v>
      </c>
      <c r="J562" s="17" t="s">
        <v>333</v>
      </c>
      <c r="K562" s="20">
        <v>3000000</v>
      </c>
      <c r="L562" s="23">
        <v>1500000</v>
      </c>
      <c r="M562" s="23">
        <v>300000</v>
      </c>
      <c r="N562" s="23">
        <v>217000</v>
      </c>
      <c r="O562" s="23">
        <v>114000</v>
      </c>
      <c r="P562" s="23">
        <v>50000</v>
      </c>
      <c r="Q562" s="23" t="s">
        <v>33</v>
      </c>
      <c r="R562" s="21">
        <f t="shared" si="18"/>
        <v>819000</v>
      </c>
    </row>
    <row r="563" spans="1:18" ht="14.25" customHeight="1">
      <c r="A563" s="15">
        <v>250803083</v>
      </c>
      <c r="B563" s="10" t="s">
        <v>316</v>
      </c>
      <c r="C563" s="36" t="s">
        <v>317</v>
      </c>
      <c r="D563" s="10" t="s">
        <v>316</v>
      </c>
      <c r="E563" s="74" t="s">
        <v>397</v>
      </c>
      <c r="F563" s="10" t="s">
        <v>144</v>
      </c>
      <c r="G563" s="10" t="s">
        <v>17</v>
      </c>
      <c r="H563" s="11">
        <v>45890</v>
      </c>
      <c r="I563" s="11">
        <v>45890</v>
      </c>
      <c r="J563" s="17" t="s">
        <v>333</v>
      </c>
      <c r="K563" s="20">
        <v>3000000</v>
      </c>
      <c r="L563" s="23">
        <v>1500000</v>
      </c>
      <c r="M563" s="23">
        <v>300000</v>
      </c>
      <c r="N563" s="23">
        <v>180000</v>
      </c>
      <c r="O563" s="23">
        <v>130000</v>
      </c>
      <c r="P563" s="23">
        <v>50000</v>
      </c>
      <c r="Q563" s="23" t="s">
        <v>33</v>
      </c>
      <c r="R563" s="21">
        <f t="shared" si="18"/>
        <v>840000</v>
      </c>
    </row>
    <row r="564" spans="1:18" ht="14.25" customHeight="1">
      <c r="A564" s="15">
        <v>250804083</v>
      </c>
      <c r="B564" s="10" t="s">
        <v>316</v>
      </c>
      <c r="C564" s="36" t="s">
        <v>317</v>
      </c>
      <c r="D564" s="10" t="s">
        <v>316</v>
      </c>
      <c r="E564" s="74" t="s">
        <v>397</v>
      </c>
      <c r="F564" s="10" t="s">
        <v>144</v>
      </c>
      <c r="G564" s="10" t="s">
        <v>320</v>
      </c>
      <c r="H564" s="11">
        <v>45890</v>
      </c>
      <c r="I564" s="11">
        <v>45890</v>
      </c>
      <c r="J564" s="17" t="s">
        <v>333</v>
      </c>
      <c r="K564" s="20">
        <v>3000000</v>
      </c>
      <c r="L564" s="23">
        <v>1500000</v>
      </c>
      <c r="M564" s="23">
        <v>300000</v>
      </c>
      <c r="N564" s="23">
        <v>190000</v>
      </c>
      <c r="O564" s="23">
        <v>142000</v>
      </c>
      <c r="P564" s="23">
        <v>50000</v>
      </c>
      <c r="Q564" s="23" t="s">
        <v>33</v>
      </c>
      <c r="R564" s="21">
        <f t="shared" si="18"/>
        <v>818000</v>
      </c>
    </row>
    <row r="565" spans="1:18" ht="14.25" customHeight="1">
      <c r="A565" s="15">
        <v>250805083</v>
      </c>
      <c r="B565" s="10" t="s">
        <v>316</v>
      </c>
      <c r="C565" s="36" t="s">
        <v>317</v>
      </c>
      <c r="D565" s="10" t="s">
        <v>316</v>
      </c>
      <c r="E565" s="74" t="s">
        <v>407</v>
      </c>
      <c r="F565" s="10" t="s">
        <v>335</v>
      </c>
      <c r="G565" s="10" t="s">
        <v>336</v>
      </c>
      <c r="H565" s="11">
        <v>45890</v>
      </c>
      <c r="I565" s="11">
        <v>45890</v>
      </c>
      <c r="J565" s="17" t="s">
        <v>333</v>
      </c>
      <c r="K565" s="20">
        <v>1700000</v>
      </c>
      <c r="L565" s="23">
        <v>400000</v>
      </c>
      <c r="M565" s="23">
        <v>250000</v>
      </c>
      <c r="N565" s="23">
        <v>180000</v>
      </c>
      <c r="O565" s="23">
        <v>130000</v>
      </c>
      <c r="P565" s="23">
        <v>50000</v>
      </c>
      <c r="Q565" s="23" t="s">
        <v>33</v>
      </c>
      <c r="R565" s="21">
        <f t="shared" si="18"/>
        <v>690000</v>
      </c>
    </row>
    <row r="566" spans="1:18" ht="14.25" customHeight="1">
      <c r="A566" s="15">
        <v>250806083</v>
      </c>
      <c r="B566" s="10" t="s">
        <v>316</v>
      </c>
      <c r="C566" s="36" t="s">
        <v>317</v>
      </c>
      <c r="D566" s="10" t="s">
        <v>316</v>
      </c>
      <c r="E566" s="74" t="s">
        <v>407</v>
      </c>
      <c r="F566" s="10" t="s">
        <v>335</v>
      </c>
      <c r="G566" s="10" t="s">
        <v>337</v>
      </c>
      <c r="H566" s="11">
        <v>45890</v>
      </c>
      <c r="I566" s="11">
        <v>45890</v>
      </c>
      <c r="J566" s="17" t="s">
        <v>333</v>
      </c>
      <c r="K566" s="20">
        <v>1700000</v>
      </c>
      <c r="L566" s="23">
        <v>400000</v>
      </c>
      <c r="M566" s="23">
        <v>250000</v>
      </c>
      <c r="N566" s="23">
        <v>180000</v>
      </c>
      <c r="O566" s="23">
        <v>130000</v>
      </c>
      <c r="P566" s="23">
        <v>50000</v>
      </c>
      <c r="Q566" s="23" t="s">
        <v>33</v>
      </c>
      <c r="R566" s="21">
        <f t="shared" si="18"/>
        <v>690000</v>
      </c>
    </row>
    <row r="567" spans="1:18" ht="14.25" customHeight="1">
      <c r="A567" s="76">
        <v>250800085</v>
      </c>
      <c r="B567" s="76" t="s">
        <v>371</v>
      </c>
      <c r="C567" s="90" t="s">
        <v>32</v>
      </c>
      <c r="D567" s="76" t="s">
        <v>380</v>
      </c>
      <c r="E567" s="76" t="s">
        <v>399</v>
      </c>
      <c r="F567" s="76" t="s">
        <v>71</v>
      </c>
      <c r="G567" s="76" t="s">
        <v>337</v>
      </c>
      <c r="H567" s="92">
        <v>45888</v>
      </c>
      <c r="I567" s="92">
        <v>45891</v>
      </c>
      <c r="J567" s="113" t="s">
        <v>338</v>
      </c>
      <c r="K567" s="106">
        <v>7700000</v>
      </c>
      <c r="L567" s="106">
        <v>2500000</v>
      </c>
      <c r="M567" s="106">
        <v>750000</v>
      </c>
      <c r="N567" s="108">
        <v>600000</v>
      </c>
      <c r="O567" s="106">
        <v>0</v>
      </c>
      <c r="P567" s="106">
        <v>0</v>
      </c>
      <c r="Q567" s="106">
        <v>0</v>
      </c>
      <c r="R567" s="114">
        <f>SUM(K567-L567-M567-N567)</f>
        <v>3850000</v>
      </c>
    </row>
    <row r="568" spans="1:18" ht="14.2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</row>
    <row r="569" spans="1:18" ht="14.2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</row>
    <row r="570" spans="1:18" ht="14.25" customHeight="1">
      <c r="A570" s="10">
        <v>250800086</v>
      </c>
      <c r="B570" s="10" t="s">
        <v>371</v>
      </c>
      <c r="C570" s="36" t="s">
        <v>32</v>
      </c>
      <c r="D570" s="10" t="s">
        <v>380</v>
      </c>
      <c r="E570" s="74" t="s">
        <v>396</v>
      </c>
      <c r="F570" s="10" t="s">
        <v>38</v>
      </c>
      <c r="G570" s="10" t="s">
        <v>337</v>
      </c>
      <c r="H570" s="11">
        <v>45890</v>
      </c>
      <c r="I570" s="11">
        <v>45890</v>
      </c>
      <c r="J570" s="55" t="s">
        <v>339</v>
      </c>
      <c r="K570" s="25">
        <v>1650000</v>
      </c>
      <c r="L570" s="22">
        <v>750000</v>
      </c>
      <c r="M570" s="23">
        <v>300000</v>
      </c>
      <c r="N570" s="23">
        <v>190000</v>
      </c>
      <c r="O570" s="13">
        <v>0</v>
      </c>
      <c r="P570" s="13">
        <v>0</v>
      </c>
      <c r="Q570" s="13">
        <v>0</v>
      </c>
      <c r="R570" s="24">
        <f>SUM(K570-L570-M570-N570)</f>
        <v>410000</v>
      </c>
    </row>
    <row r="571" spans="1:18" ht="14.25" customHeight="1">
      <c r="A571" s="10">
        <v>250800087</v>
      </c>
      <c r="B571" s="10" t="s">
        <v>370</v>
      </c>
      <c r="C571" s="36" t="s">
        <v>15</v>
      </c>
      <c r="D571" s="10" t="s">
        <v>381</v>
      </c>
      <c r="E571" s="10" t="s">
        <v>395</v>
      </c>
      <c r="F571" s="10" t="s">
        <v>25</v>
      </c>
      <c r="G571" s="10" t="s">
        <v>26</v>
      </c>
      <c r="H571" s="11">
        <v>45890</v>
      </c>
      <c r="I571" s="11">
        <v>45890</v>
      </c>
      <c r="J571" s="12" t="s">
        <v>27</v>
      </c>
      <c r="K571" s="22">
        <v>800000</v>
      </c>
      <c r="L571" s="23">
        <v>375000</v>
      </c>
      <c r="M571" s="23">
        <v>180000</v>
      </c>
      <c r="N571" s="22">
        <v>45000</v>
      </c>
      <c r="O571" s="13">
        <v>0</v>
      </c>
      <c r="P571" s="13">
        <v>50000</v>
      </c>
      <c r="Q571" s="13" t="s">
        <v>33</v>
      </c>
      <c r="R571" s="21">
        <f>SUM(K571-L571-M571-N571-O571-P571)</f>
        <v>150000</v>
      </c>
    </row>
    <row r="572" spans="1:18" ht="14.25" customHeight="1">
      <c r="A572" s="76">
        <v>250800088</v>
      </c>
      <c r="B572" s="76" t="s">
        <v>19</v>
      </c>
      <c r="C572" s="90" t="s">
        <v>20</v>
      </c>
      <c r="D572" s="76" t="s">
        <v>116</v>
      </c>
      <c r="E572" s="76" t="s">
        <v>395</v>
      </c>
      <c r="F572" s="76" t="s">
        <v>25</v>
      </c>
      <c r="G572" s="76" t="s">
        <v>56</v>
      </c>
      <c r="H572" s="92">
        <v>45891</v>
      </c>
      <c r="I572" s="92">
        <v>45892</v>
      </c>
      <c r="J572" s="113" t="s">
        <v>103</v>
      </c>
      <c r="K572" s="117">
        <v>750000</v>
      </c>
      <c r="L572" s="106">
        <v>400000</v>
      </c>
      <c r="M572" s="106">
        <v>200000</v>
      </c>
      <c r="N572" s="106">
        <v>100000</v>
      </c>
      <c r="O572" s="106">
        <v>0</v>
      </c>
      <c r="P572" s="106">
        <v>0</v>
      </c>
      <c r="Q572" s="106">
        <v>0</v>
      </c>
      <c r="R572" s="112">
        <f>SUM(K572-L572-M572-N572)</f>
        <v>50000</v>
      </c>
    </row>
    <row r="573" spans="1:18" ht="14.2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8"/>
    </row>
    <row r="574" spans="1:18" ht="14.25" customHeight="1">
      <c r="A574" s="10">
        <v>250800089</v>
      </c>
      <c r="B574" s="10" t="s">
        <v>225</v>
      </c>
      <c r="C574" s="36" t="s">
        <v>226</v>
      </c>
      <c r="D574" s="10" t="s">
        <v>225</v>
      </c>
      <c r="E574" s="10" t="s">
        <v>395</v>
      </c>
      <c r="F574" s="10" t="s">
        <v>25</v>
      </c>
      <c r="G574" s="10" t="s">
        <v>340</v>
      </c>
      <c r="H574" s="11">
        <v>45891</v>
      </c>
      <c r="I574" s="11">
        <v>45891</v>
      </c>
      <c r="J574" s="12" t="s">
        <v>137</v>
      </c>
      <c r="K574" s="22">
        <v>900000</v>
      </c>
      <c r="L574" s="23">
        <v>400000</v>
      </c>
      <c r="M574" s="23">
        <v>225000</v>
      </c>
      <c r="N574" s="22">
        <v>214000</v>
      </c>
      <c r="O574" s="13">
        <v>0</v>
      </c>
      <c r="P574" s="13">
        <v>0</v>
      </c>
      <c r="Q574" s="13">
        <v>0</v>
      </c>
      <c r="R574" s="24">
        <f>SUM(K574-L574-M574-N574)</f>
        <v>61000</v>
      </c>
    </row>
    <row r="575" spans="1:18" ht="14.25" customHeight="1">
      <c r="A575" s="10">
        <v>250800090</v>
      </c>
      <c r="B575" s="10" t="s">
        <v>391</v>
      </c>
      <c r="C575" s="36" t="s">
        <v>341</v>
      </c>
      <c r="D575" s="10" t="s">
        <v>391</v>
      </c>
      <c r="E575" s="74" t="s">
        <v>398</v>
      </c>
      <c r="F575" s="10" t="s">
        <v>58</v>
      </c>
      <c r="G575" s="10" t="s">
        <v>30</v>
      </c>
      <c r="H575" s="11">
        <v>45891</v>
      </c>
      <c r="I575" s="11">
        <v>45891</v>
      </c>
      <c r="J575" s="12" t="s">
        <v>342</v>
      </c>
      <c r="K575" s="22">
        <v>1380000</v>
      </c>
      <c r="L575" s="23">
        <v>600000</v>
      </c>
      <c r="M575" s="23">
        <v>250000</v>
      </c>
      <c r="N575" s="22">
        <v>114000</v>
      </c>
      <c r="O575" s="13">
        <v>124000</v>
      </c>
      <c r="P575" s="13">
        <v>0</v>
      </c>
      <c r="Q575" s="13">
        <v>0</v>
      </c>
      <c r="R575" s="21">
        <f t="shared" ref="R575:R576" si="19">SUM(K575-L575-M575-N575-O575-P575)</f>
        <v>292000</v>
      </c>
    </row>
    <row r="576" spans="1:18" ht="14.25" customHeight="1">
      <c r="A576" s="76">
        <v>250800091</v>
      </c>
      <c r="B576" s="81" t="s">
        <v>371</v>
      </c>
      <c r="C576" s="90" t="s">
        <v>32</v>
      </c>
      <c r="D576" s="76" t="s">
        <v>380</v>
      </c>
      <c r="E576" s="76" t="s">
        <v>405</v>
      </c>
      <c r="F576" s="76" t="s">
        <v>178</v>
      </c>
      <c r="G576" s="76" t="s">
        <v>30</v>
      </c>
      <c r="H576" s="92">
        <v>45891</v>
      </c>
      <c r="I576" s="92">
        <v>45894</v>
      </c>
      <c r="J576" s="113" t="s">
        <v>343</v>
      </c>
      <c r="K576" s="106">
        <v>5300000</v>
      </c>
      <c r="L576" s="106">
        <v>2800000</v>
      </c>
      <c r="M576" s="106">
        <v>950000</v>
      </c>
      <c r="N576" s="117">
        <v>300000</v>
      </c>
      <c r="O576" s="117">
        <v>0</v>
      </c>
      <c r="P576" s="106">
        <v>400000</v>
      </c>
      <c r="Q576" s="117" t="s">
        <v>24</v>
      </c>
      <c r="R576" s="112">
        <f t="shared" si="19"/>
        <v>850000</v>
      </c>
    </row>
    <row r="577" spans="1:18" ht="14.25" customHeight="1">
      <c r="A577" s="78"/>
      <c r="B577" s="8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</row>
    <row r="578" spans="1:18" ht="14.25" customHeight="1">
      <c r="A578" s="78"/>
      <c r="B578" s="8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</row>
    <row r="579" spans="1:18" ht="14.25" customHeight="1">
      <c r="A579" s="77"/>
      <c r="B579" s="82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8"/>
    </row>
    <row r="580" spans="1:18" ht="14.25" customHeight="1">
      <c r="A580" s="10">
        <v>250800092</v>
      </c>
      <c r="B580" s="10" t="s">
        <v>344</v>
      </c>
      <c r="C580" s="36" t="s">
        <v>345</v>
      </c>
      <c r="D580" s="10" t="s">
        <v>344</v>
      </c>
      <c r="E580" s="10" t="s">
        <v>395</v>
      </c>
      <c r="F580" s="10" t="s">
        <v>25</v>
      </c>
      <c r="G580" s="10" t="s">
        <v>67</v>
      </c>
      <c r="H580" s="11">
        <v>45892</v>
      </c>
      <c r="I580" s="11">
        <v>45892</v>
      </c>
      <c r="J580" s="12" t="s">
        <v>342</v>
      </c>
      <c r="K580" s="22">
        <v>900000</v>
      </c>
      <c r="L580" s="23">
        <v>400000</v>
      </c>
      <c r="M580" s="23">
        <v>225000</v>
      </c>
      <c r="N580" s="22">
        <v>145000</v>
      </c>
      <c r="O580" s="13">
        <v>0</v>
      </c>
      <c r="P580" s="13">
        <v>0</v>
      </c>
      <c r="Q580" s="13">
        <v>0</v>
      </c>
      <c r="R580" s="24">
        <f>SUM(K580-L580-M580-N580)</f>
        <v>130000</v>
      </c>
    </row>
    <row r="581" spans="1:18" ht="14.25" customHeight="1">
      <c r="A581" s="76">
        <v>250800093</v>
      </c>
      <c r="B581" s="76" t="s">
        <v>370</v>
      </c>
      <c r="C581" s="90" t="s">
        <v>15</v>
      </c>
      <c r="D581" s="76" t="s">
        <v>382</v>
      </c>
      <c r="E581" s="76" t="s">
        <v>396</v>
      </c>
      <c r="F581" s="76" t="s">
        <v>38</v>
      </c>
      <c r="G581" s="76" t="s">
        <v>59</v>
      </c>
      <c r="H581" s="92">
        <v>45892</v>
      </c>
      <c r="I581" s="92">
        <v>45894</v>
      </c>
      <c r="J581" s="113" t="s">
        <v>346</v>
      </c>
      <c r="K581" s="106">
        <v>7000000</v>
      </c>
      <c r="L581" s="106">
        <v>2850000</v>
      </c>
      <c r="M581" s="106">
        <v>1350000</v>
      </c>
      <c r="N581" s="106">
        <v>1246000</v>
      </c>
      <c r="O581" s="106">
        <v>0</v>
      </c>
      <c r="P581" s="106">
        <v>500000</v>
      </c>
      <c r="Q581" s="106">
        <v>0</v>
      </c>
      <c r="R581" s="112">
        <f>SUM(K581-L581-L582-L583-M581-M582-M583-N581-P581)</f>
        <v>1054000</v>
      </c>
    </row>
    <row r="582" spans="1:18" ht="14.2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</row>
    <row r="583" spans="1:18" ht="14.2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</row>
    <row r="584" spans="1:18" ht="14.25" customHeight="1">
      <c r="A584" s="10">
        <v>250800094</v>
      </c>
      <c r="B584" s="10" t="s">
        <v>347</v>
      </c>
      <c r="C584" s="36" t="s">
        <v>348</v>
      </c>
      <c r="D584" s="10" t="s">
        <v>347</v>
      </c>
      <c r="E584" s="10" t="s">
        <v>395</v>
      </c>
      <c r="F584" s="10" t="s">
        <v>25</v>
      </c>
      <c r="G584" s="10" t="s">
        <v>30</v>
      </c>
      <c r="H584" s="11">
        <v>45893</v>
      </c>
      <c r="I584" s="11"/>
      <c r="J584" s="12" t="s">
        <v>349</v>
      </c>
      <c r="K584" s="22">
        <v>900000</v>
      </c>
      <c r="L584" s="23">
        <v>400000</v>
      </c>
      <c r="M584" s="23">
        <v>225000</v>
      </c>
      <c r="N584" s="22">
        <v>140000</v>
      </c>
      <c r="O584" s="13">
        <v>0</v>
      </c>
      <c r="P584" s="13">
        <v>0</v>
      </c>
      <c r="Q584" s="13">
        <v>0</v>
      </c>
      <c r="R584" s="24">
        <f>SUM(K584-L584-M584-N584)</f>
        <v>135000</v>
      </c>
    </row>
    <row r="585" spans="1:18" ht="14.25" customHeight="1">
      <c r="A585" s="76">
        <v>250800095</v>
      </c>
      <c r="B585" s="76" t="s">
        <v>391</v>
      </c>
      <c r="C585" s="90" t="s">
        <v>341</v>
      </c>
      <c r="D585" s="76" t="s">
        <v>391</v>
      </c>
      <c r="E585" s="76" t="s">
        <v>396</v>
      </c>
      <c r="F585" s="76" t="s">
        <v>38</v>
      </c>
      <c r="G585" s="76" t="s">
        <v>22</v>
      </c>
      <c r="H585" s="92">
        <v>45893</v>
      </c>
      <c r="I585" s="92">
        <v>45894</v>
      </c>
      <c r="J585" s="113" t="s">
        <v>350</v>
      </c>
      <c r="K585" s="106">
        <v>3245000</v>
      </c>
      <c r="L585" s="106">
        <v>1500000</v>
      </c>
      <c r="M585" s="106">
        <v>500000</v>
      </c>
      <c r="N585" s="106">
        <v>360000</v>
      </c>
      <c r="O585" s="106">
        <v>245000</v>
      </c>
      <c r="P585" s="106">
        <v>0</v>
      </c>
      <c r="Q585" s="106">
        <v>0</v>
      </c>
      <c r="R585" s="112">
        <f>SUM(K585-L585-L586-M585-M586-N585-O585)</f>
        <v>640000</v>
      </c>
    </row>
    <row r="586" spans="1:18" ht="14.2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</row>
    <row r="587" spans="1:18" ht="14.25" customHeight="1">
      <c r="A587" s="10">
        <v>250800096</v>
      </c>
      <c r="B587" s="10" t="s">
        <v>344</v>
      </c>
      <c r="C587" s="36" t="s">
        <v>345</v>
      </c>
      <c r="D587" s="10" t="s">
        <v>344</v>
      </c>
      <c r="E587" s="10" t="s">
        <v>395</v>
      </c>
      <c r="F587" s="10" t="s">
        <v>25</v>
      </c>
      <c r="G587" s="10" t="s">
        <v>67</v>
      </c>
      <c r="H587" s="11">
        <v>45894</v>
      </c>
      <c r="I587" s="11">
        <v>45894</v>
      </c>
      <c r="J587" s="12" t="s">
        <v>351</v>
      </c>
      <c r="K587" s="22">
        <v>1934000</v>
      </c>
      <c r="L587" s="23">
        <v>400000</v>
      </c>
      <c r="M587" s="23">
        <v>350000</v>
      </c>
      <c r="N587" s="22">
        <v>310000</v>
      </c>
      <c r="O587" s="13">
        <v>384000</v>
      </c>
      <c r="P587" s="13">
        <v>150000</v>
      </c>
      <c r="Q587" s="13" t="s">
        <v>352</v>
      </c>
      <c r="R587" s="21">
        <f t="shared" ref="R587:R588" si="20">SUM(K587-L587-M587-N587-O587-P587)</f>
        <v>340000</v>
      </c>
    </row>
    <row r="588" spans="1:18" ht="14.25" customHeight="1">
      <c r="A588" s="76">
        <v>250800097</v>
      </c>
      <c r="B588" s="76" t="s">
        <v>370</v>
      </c>
      <c r="C588" s="90" t="s">
        <v>15</v>
      </c>
      <c r="D588" s="76" t="s">
        <v>382</v>
      </c>
      <c r="E588" s="76" t="s">
        <v>395</v>
      </c>
      <c r="F588" s="76" t="s">
        <v>25</v>
      </c>
      <c r="G588" s="76" t="s">
        <v>17</v>
      </c>
      <c r="H588" s="92">
        <v>45894</v>
      </c>
      <c r="I588" s="92">
        <v>45898</v>
      </c>
      <c r="J588" s="113" t="s">
        <v>353</v>
      </c>
      <c r="K588" s="106">
        <v>2729000</v>
      </c>
      <c r="L588" s="106">
        <v>1200000</v>
      </c>
      <c r="M588" s="106">
        <v>680000</v>
      </c>
      <c r="N588" s="106">
        <v>175000</v>
      </c>
      <c r="O588" s="106">
        <v>129000</v>
      </c>
      <c r="P588" s="106">
        <v>0</v>
      </c>
      <c r="Q588" s="106">
        <v>0</v>
      </c>
      <c r="R588" s="112">
        <f t="shared" si="20"/>
        <v>545000</v>
      </c>
    </row>
    <row r="589" spans="1:18" ht="14.2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</row>
    <row r="590" spans="1:18" ht="14.2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</row>
    <row r="591" spans="1:18" ht="14.2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</row>
    <row r="592" spans="1:18" ht="14.2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8"/>
    </row>
    <row r="593" spans="1:18" ht="14.25" customHeight="1">
      <c r="A593" s="10">
        <v>250800098</v>
      </c>
      <c r="B593" s="10" t="s">
        <v>98</v>
      </c>
      <c r="C593" s="36" t="s">
        <v>354</v>
      </c>
      <c r="D593" s="10" t="s">
        <v>98</v>
      </c>
      <c r="E593" s="10" t="s">
        <v>395</v>
      </c>
      <c r="F593" s="10" t="s">
        <v>25</v>
      </c>
      <c r="G593" s="10" t="s">
        <v>98</v>
      </c>
      <c r="H593" s="11">
        <v>45894</v>
      </c>
      <c r="I593" s="11">
        <v>45894</v>
      </c>
      <c r="J593" s="12" t="s">
        <v>221</v>
      </c>
      <c r="K593" s="23">
        <v>0</v>
      </c>
      <c r="L593" s="23">
        <v>375000</v>
      </c>
      <c r="M593" s="23">
        <v>0</v>
      </c>
      <c r="N593" s="56"/>
      <c r="O593" s="57"/>
      <c r="P593" s="57"/>
      <c r="Q593" s="57"/>
      <c r="R593" s="30"/>
    </row>
    <row r="594" spans="1:18" ht="14.25" customHeight="1">
      <c r="A594" s="76">
        <v>250800099</v>
      </c>
      <c r="B594" s="76" t="s">
        <v>355</v>
      </c>
      <c r="C594" s="90" t="s">
        <v>356</v>
      </c>
      <c r="D594" s="76" t="s">
        <v>355</v>
      </c>
      <c r="E594" s="76" t="s">
        <v>404</v>
      </c>
      <c r="F594" s="76" t="s">
        <v>106</v>
      </c>
      <c r="G594" s="76" t="s">
        <v>30</v>
      </c>
      <c r="H594" s="92">
        <v>45894</v>
      </c>
      <c r="I594" s="92">
        <v>45895</v>
      </c>
      <c r="J594" s="113" t="s">
        <v>357</v>
      </c>
      <c r="K594" s="106">
        <v>1688000</v>
      </c>
      <c r="L594" s="106">
        <v>500000</v>
      </c>
      <c r="M594" s="106">
        <v>450000</v>
      </c>
      <c r="N594" s="106">
        <v>200000</v>
      </c>
      <c r="O594" s="106">
        <v>188000</v>
      </c>
      <c r="P594" s="106">
        <v>0</v>
      </c>
      <c r="Q594" s="106">
        <v>0</v>
      </c>
      <c r="R594" s="112">
        <f>SUM(K594-L594-M594-N594-O594-P594)</f>
        <v>350000</v>
      </c>
    </row>
    <row r="595" spans="1:18" ht="14.2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8"/>
    </row>
    <row r="596" spans="1:18" ht="14.25" customHeight="1">
      <c r="A596" s="10">
        <v>250800100</v>
      </c>
      <c r="B596" s="10" t="s">
        <v>370</v>
      </c>
      <c r="C596" s="36" t="s">
        <v>15</v>
      </c>
      <c r="D596" s="10" t="s">
        <v>382</v>
      </c>
      <c r="E596" s="10" t="s">
        <v>395</v>
      </c>
      <c r="F596" s="10" t="s">
        <v>25</v>
      </c>
      <c r="G596" s="10" t="s">
        <v>22</v>
      </c>
      <c r="H596" s="11">
        <v>45895</v>
      </c>
      <c r="I596" s="11">
        <v>45895</v>
      </c>
      <c r="J596" s="12" t="s">
        <v>358</v>
      </c>
      <c r="K596" s="22">
        <v>723000</v>
      </c>
      <c r="L596" s="23">
        <v>400000</v>
      </c>
      <c r="M596" s="23">
        <v>200000</v>
      </c>
      <c r="N596" s="22">
        <v>50000</v>
      </c>
      <c r="O596" s="13">
        <v>23000</v>
      </c>
      <c r="P596" s="13">
        <v>0</v>
      </c>
      <c r="Q596" s="13">
        <v>0</v>
      </c>
      <c r="R596" s="21">
        <f>SUM(K596-L596-M596-N596-O596-P596)</f>
        <v>50000</v>
      </c>
    </row>
    <row r="597" spans="1:18" ht="14.25" customHeight="1">
      <c r="A597" s="76">
        <v>250800101</v>
      </c>
      <c r="B597" s="76" t="s">
        <v>19</v>
      </c>
      <c r="C597" s="90" t="s">
        <v>20</v>
      </c>
      <c r="D597" s="76" t="s">
        <v>53</v>
      </c>
      <c r="E597" s="76" t="s">
        <v>395</v>
      </c>
      <c r="F597" s="76" t="s">
        <v>25</v>
      </c>
      <c r="G597" s="76" t="s">
        <v>162</v>
      </c>
      <c r="H597" s="92">
        <v>45895</v>
      </c>
      <c r="I597" s="92">
        <v>45898</v>
      </c>
      <c r="J597" s="113" t="s">
        <v>359</v>
      </c>
      <c r="K597" s="106">
        <v>2700000</v>
      </c>
      <c r="L597" s="106">
        <v>1400000</v>
      </c>
      <c r="M597" s="106">
        <v>730000</v>
      </c>
      <c r="N597" s="106">
        <v>400000</v>
      </c>
      <c r="O597" s="106">
        <v>0</v>
      </c>
      <c r="P597" s="106">
        <v>0</v>
      </c>
      <c r="Q597" s="106">
        <v>0</v>
      </c>
      <c r="R597" s="112">
        <f>SUM(K597-L597-L598-L599-L600-M597-M598-M599-M600-N597)</f>
        <v>170000</v>
      </c>
    </row>
    <row r="598" spans="1:18" ht="14.2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</row>
    <row r="599" spans="1:18" ht="14.2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</row>
    <row r="600" spans="1:18" ht="14.2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</row>
    <row r="601" spans="1:18" ht="14.25" customHeight="1">
      <c r="A601" s="76">
        <v>250800102</v>
      </c>
      <c r="B601" s="76" t="s">
        <v>373</v>
      </c>
      <c r="C601" s="90" t="s">
        <v>28</v>
      </c>
      <c r="D601" s="76" t="s">
        <v>373</v>
      </c>
      <c r="E601" s="76" t="s">
        <v>395</v>
      </c>
      <c r="F601" s="76" t="s">
        <v>25</v>
      </c>
      <c r="G601" s="76" t="s">
        <v>312</v>
      </c>
      <c r="H601" s="92">
        <v>45896</v>
      </c>
      <c r="I601" s="92">
        <v>45899</v>
      </c>
      <c r="J601" s="113" t="s">
        <v>360</v>
      </c>
      <c r="K601" s="106">
        <v>6144000</v>
      </c>
      <c r="L601" s="106">
        <v>1800000</v>
      </c>
      <c r="M601" s="106">
        <v>1600000</v>
      </c>
      <c r="N601" s="106">
        <v>925000</v>
      </c>
      <c r="O601" s="106">
        <v>18000</v>
      </c>
      <c r="P601" s="106">
        <v>0</v>
      </c>
      <c r="Q601" s="106">
        <v>0</v>
      </c>
      <c r="R601" s="112">
        <f>SUM(K601-L601-L602-L603-L604-M601-M602-M603-M604-N601-O601)</f>
        <v>1801000</v>
      </c>
    </row>
    <row r="602" spans="1:18" ht="14.2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</row>
    <row r="603" spans="1:18" ht="14.2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</row>
    <row r="604" spans="1:18" ht="14.2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</row>
    <row r="605" spans="1:18" ht="14.25" customHeight="1">
      <c r="A605" s="76">
        <v>250800103</v>
      </c>
      <c r="B605" s="76" t="s">
        <v>373</v>
      </c>
      <c r="C605" s="90" t="s">
        <v>28</v>
      </c>
      <c r="D605" s="76" t="s">
        <v>373</v>
      </c>
      <c r="E605" s="76" t="s">
        <v>396</v>
      </c>
      <c r="F605" s="76" t="s">
        <v>38</v>
      </c>
      <c r="G605" s="76" t="s">
        <v>59</v>
      </c>
      <c r="H605" s="92">
        <v>45896</v>
      </c>
      <c r="I605" s="92">
        <v>45899</v>
      </c>
      <c r="J605" s="113" t="s">
        <v>360</v>
      </c>
      <c r="K605" s="106">
        <v>8448000</v>
      </c>
      <c r="L605" s="106">
        <v>3800000</v>
      </c>
      <c r="M605" s="106">
        <v>1800000</v>
      </c>
      <c r="N605" s="106">
        <v>1062000</v>
      </c>
      <c r="O605" s="106">
        <v>0</v>
      </c>
      <c r="P605" s="106">
        <v>0</v>
      </c>
      <c r="Q605" s="106">
        <v>0</v>
      </c>
      <c r="R605" s="112">
        <f>SUM(K605-L605-L606-L607-L608-M605-M606-M607-M608-N605-O605)</f>
        <v>1786000</v>
      </c>
    </row>
    <row r="606" spans="1:18" ht="14.2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</row>
    <row r="607" spans="1:18" ht="14.2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</row>
    <row r="608" spans="1:18" ht="14.2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</row>
    <row r="609" spans="1:18" ht="14.25" customHeight="1">
      <c r="A609" s="76">
        <v>250800104</v>
      </c>
      <c r="B609" s="76" t="s">
        <v>373</v>
      </c>
      <c r="C609" s="90" t="s">
        <v>28</v>
      </c>
      <c r="D609" s="76" t="s">
        <v>373</v>
      </c>
      <c r="E609" s="76" t="s">
        <v>396</v>
      </c>
      <c r="F609" s="76" t="s">
        <v>38</v>
      </c>
      <c r="G609" s="76" t="s">
        <v>30</v>
      </c>
      <c r="H609" s="92">
        <v>45896</v>
      </c>
      <c r="I609" s="92">
        <v>45899</v>
      </c>
      <c r="J609" s="113" t="s">
        <v>360</v>
      </c>
      <c r="K609" s="106">
        <v>8448000</v>
      </c>
      <c r="L609" s="106">
        <v>3800000</v>
      </c>
      <c r="M609" s="106">
        <v>1800000</v>
      </c>
      <c r="N609" s="106">
        <v>1329000</v>
      </c>
      <c r="O609" s="106">
        <v>0</v>
      </c>
      <c r="P609" s="106">
        <v>0</v>
      </c>
      <c r="Q609" s="106">
        <v>0</v>
      </c>
      <c r="R609" s="112">
        <f>SUM(K609-L609-L610-L611-L612-M609-M610-M611-M612-N609-O609)</f>
        <v>1519000</v>
      </c>
    </row>
    <row r="610" spans="1:18" ht="14.2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</row>
    <row r="611" spans="1:18" ht="14.2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</row>
    <row r="612" spans="1:18" ht="14.2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</row>
    <row r="613" spans="1:18" ht="14.25" customHeight="1">
      <c r="A613" s="76">
        <v>250800105</v>
      </c>
      <c r="B613" s="76" t="s">
        <v>373</v>
      </c>
      <c r="C613" s="90" t="s">
        <v>28</v>
      </c>
      <c r="D613" s="76" t="s">
        <v>373</v>
      </c>
      <c r="E613" s="76" t="s">
        <v>396</v>
      </c>
      <c r="F613" s="76" t="s">
        <v>38</v>
      </c>
      <c r="G613" s="76" t="s">
        <v>39</v>
      </c>
      <c r="H613" s="92">
        <v>45896</v>
      </c>
      <c r="I613" s="92">
        <v>45899</v>
      </c>
      <c r="J613" s="113" t="s">
        <v>360</v>
      </c>
      <c r="K613" s="106">
        <v>8448000</v>
      </c>
      <c r="L613" s="106">
        <v>3800000</v>
      </c>
      <c r="M613" s="106">
        <v>1800000</v>
      </c>
      <c r="N613" s="106">
        <v>1178000</v>
      </c>
      <c r="O613" s="106">
        <v>0</v>
      </c>
      <c r="P613" s="106">
        <v>0</v>
      </c>
      <c r="Q613" s="106">
        <v>0</v>
      </c>
      <c r="R613" s="112">
        <f>SUM(K613-L613-L614-L615-L616-M613-M614-M615-M616-N613-O613)</f>
        <v>1670000</v>
      </c>
    </row>
    <row r="614" spans="1:18" ht="14.2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</row>
    <row r="615" spans="1:18" ht="14.2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</row>
    <row r="616" spans="1:18" ht="14.2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</row>
    <row r="617" spans="1:18" ht="14.25" customHeight="1">
      <c r="A617" s="76">
        <v>250800106</v>
      </c>
      <c r="B617" s="76" t="s">
        <v>370</v>
      </c>
      <c r="C617" s="90" t="s">
        <v>15</v>
      </c>
      <c r="D617" s="76" t="s">
        <v>382</v>
      </c>
      <c r="E617" s="76" t="s">
        <v>395</v>
      </c>
      <c r="F617" s="76" t="s">
        <v>25</v>
      </c>
      <c r="G617" s="76" t="s">
        <v>22</v>
      </c>
      <c r="H617" s="92">
        <v>45896</v>
      </c>
      <c r="I617" s="92">
        <v>45896</v>
      </c>
      <c r="J617" s="113" t="s">
        <v>361</v>
      </c>
      <c r="K617" s="106">
        <v>2750000</v>
      </c>
      <c r="L617" s="106">
        <v>900000</v>
      </c>
      <c r="M617" s="106">
        <v>600000</v>
      </c>
      <c r="N617" s="106">
        <v>329500</v>
      </c>
      <c r="O617" s="106">
        <v>0</v>
      </c>
      <c r="P617" s="106">
        <v>250000</v>
      </c>
      <c r="Q617" s="106" t="s">
        <v>362</v>
      </c>
      <c r="R617" s="112">
        <f>SUM(K617-L617-L618-M617-M618-N617-O617-P617)</f>
        <v>670500</v>
      </c>
    </row>
    <row r="618" spans="1:18" ht="14.2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</row>
    <row r="619" spans="1:18" ht="14.25" customHeight="1">
      <c r="A619" s="76">
        <v>250800107</v>
      </c>
      <c r="B619" s="76" t="s">
        <v>131</v>
      </c>
      <c r="C619" s="90" t="s">
        <v>132</v>
      </c>
      <c r="D619" s="76" t="s">
        <v>131</v>
      </c>
      <c r="E619" s="76" t="s">
        <v>404</v>
      </c>
      <c r="F619" s="76" t="s">
        <v>106</v>
      </c>
      <c r="G619" s="76" t="s">
        <v>67</v>
      </c>
      <c r="H619" s="92">
        <v>45895</v>
      </c>
      <c r="I619" s="92">
        <v>45896</v>
      </c>
      <c r="J619" s="113" t="s">
        <v>210</v>
      </c>
      <c r="K619" s="106">
        <v>1431000</v>
      </c>
      <c r="L619" s="106">
        <v>500000</v>
      </c>
      <c r="M619" s="106">
        <v>360000</v>
      </c>
      <c r="N619" s="106">
        <v>150000</v>
      </c>
      <c r="O619" s="106">
        <v>100000</v>
      </c>
      <c r="P619" s="106">
        <v>54900</v>
      </c>
      <c r="Q619" s="106" t="s">
        <v>363</v>
      </c>
      <c r="R619" s="112">
        <f>SUM(K619-L619-L620-M619-M620-N619-O619-P619)</f>
        <v>266100</v>
      </c>
    </row>
    <row r="620" spans="1:18" ht="14.2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</row>
    <row r="621" spans="1:18" ht="14.25" customHeight="1">
      <c r="A621" s="15">
        <v>250801108</v>
      </c>
      <c r="B621" s="15" t="s">
        <v>19</v>
      </c>
      <c r="C621" s="36" t="s">
        <v>20</v>
      </c>
      <c r="D621" s="10" t="s">
        <v>243</v>
      </c>
      <c r="E621" s="74" t="s">
        <v>399</v>
      </c>
      <c r="F621" s="10" t="s">
        <v>71</v>
      </c>
      <c r="G621" s="10" t="s">
        <v>67</v>
      </c>
      <c r="H621" s="11">
        <v>45896</v>
      </c>
      <c r="I621" s="11">
        <v>45896</v>
      </c>
      <c r="J621" s="17" t="s">
        <v>300</v>
      </c>
      <c r="K621" s="20">
        <v>1713500</v>
      </c>
      <c r="L621" s="23">
        <v>600000</v>
      </c>
      <c r="M621" s="23">
        <v>250000</v>
      </c>
      <c r="N621" s="22">
        <v>200000</v>
      </c>
      <c r="O621" s="13">
        <v>192500</v>
      </c>
      <c r="P621" s="22">
        <v>0</v>
      </c>
      <c r="Q621" s="22">
        <v>0</v>
      </c>
      <c r="R621" s="21">
        <f t="shared" ref="R621:R626" si="21">SUM(K621-L621-M621-N621-O621-P621)</f>
        <v>471000</v>
      </c>
    </row>
    <row r="622" spans="1:18" ht="14.25" customHeight="1">
      <c r="A622" s="15">
        <v>250802108</v>
      </c>
      <c r="B622" s="15" t="s">
        <v>19</v>
      </c>
      <c r="C622" s="36" t="s">
        <v>20</v>
      </c>
      <c r="D622" s="10" t="s">
        <v>243</v>
      </c>
      <c r="E622" s="74" t="s">
        <v>398</v>
      </c>
      <c r="F622" s="10" t="s">
        <v>58</v>
      </c>
      <c r="G622" s="10" t="s">
        <v>320</v>
      </c>
      <c r="H622" s="11">
        <v>45896</v>
      </c>
      <c r="I622" s="11">
        <v>45896</v>
      </c>
      <c r="J622" s="17" t="s">
        <v>300</v>
      </c>
      <c r="K622" s="20">
        <v>1713500</v>
      </c>
      <c r="L622" s="23">
        <v>600000</v>
      </c>
      <c r="M622" s="23">
        <v>250000</v>
      </c>
      <c r="N622" s="22">
        <v>200000</v>
      </c>
      <c r="O622" s="13">
        <v>192500</v>
      </c>
      <c r="P622" s="22">
        <v>0</v>
      </c>
      <c r="Q622" s="22">
        <v>0</v>
      </c>
      <c r="R622" s="21">
        <f t="shared" si="21"/>
        <v>471000</v>
      </c>
    </row>
    <row r="623" spans="1:18" ht="14.25" customHeight="1">
      <c r="A623" s="15">
        <v>250803108</v>
      </c>
      <c r="B623" s="15" t="s">
        <v>19</v>
      </c>
      <c r="C623" s="36" t="s">
        <v>20</v>
      </c>
      <c r="D623" s="10" t="s">
        <v>243</v>
      </c>
      <c r="E623" s="74" t="s">
        <v>398</v>
      </c>
      <c r="F623" s="10" t="s">
        <v>58</v>
      </c>
      <c r="G623" s="10" t="s">
        <v>321</v>
      </c>
      <c r="H623" s="11">
        <v>45896</v>
      </c>
      <c r="I623" s="11">
        <v>45896</v>
      </c>
      <c r="J623" s="17" t="s">
        <v>300</v>
      </c>
      <c r="K623" s="20">
        <v>1713500</v>
      </c>
      <c r="L623" s="23">
        <v>600000</v>
      </c>
      <c r="M623" s="23">
        <v>250000</v>
      </c>
      <c r="N623" s="22">
        <v>150000</v>
      </c>
      <c r="O623" s="13">
        <v>50000</v>
      </c>
      <c r="P623" s="22">
        <v>50000</v>
      </c>
      <c r="Q623" s="23" t="s">
        <v>364</v>
      </c>
      <c r="R623" s="21">
        <f t="shared" si="21"/>
        <v>613500</v>
      </c>
    </row>
    <row r="624" spans="1:18" ht="14.25" customHeight="1">
      <c r="A624" s="15">
        <v>250801109</v>
      </c>
      <c r="B624" s="15" t="s">
        <v>19</v>
      </c>
      <c r="C624" s="36" t="s">
        <v>20</v>
      </c>
      <c r="D624" s="10" t="s">
        <v>243</v>
      </c>
      <c r="E624" s="74" t="s">
        <v>399</v>
      </c>
      <c r="F624" s="10" t="s">
        <v>71</v>
      </c>
      <c r="G624" s="10" t="s">
        <v>321</v>
      </c>
      <c r="H624" s="11">
        <v>45898</v>
      </c>
      <c r="I624" s="11">
        <v>45898</v>
      </c>
      <c r="J624" s="17" t="s">
        <v>365</v>
      </c>
      <c r="K624" s="20">
        <v>1713500</v>
      </c>
      <c r="L624" s="23">
        <v>600000</v>
      </c>
      <c r="M624" s="23">
        <v>250000</v>
      </c>
      <c r="N624" s="22">
        <v>200000</v>
      </c>
      <c r="O624" s="13">
        <v>192500</v>
      </c>
      <c r="P624" s="22">
        <v>0</v>
      </c>
      <c r="Q624" s="22">
        <v>0</v>
      </c>
      <c r="R624" s="21">
        <f t="shared" si="21"/>
        <v>471000</v>
      </c>
    </row>
    <row r="625" spans="1:18" ht="14.25" customHeight="1">
      <c r="A625" s="15">
        <v>250802109</v>
      </c>
      <c r="B625" s="15" t="s">
        <v>19</v>
      </c>
      <c r="C625" s="36" t="s">
        <v>20</v>
      </c>
      <c r="D625" s="10" t="s">
        <v>243</v>
      </c>
      <c r="E625" s="74" t="s">
        <v>398</v>
      </c>
      <c r="F625" s="10" t="s">
        <v>58</v>
      </c>
      <c r="G625" s="10" t="s">
        <v>22</v>
      </c>
      <c r="H625" s="11">
        <v>45898</v>
      </c>
      <c r="I625" s="11">
        <v>45898</v>
      </c>
      <c r="J625" s="17" t="s">
        <v>365</v>
      </c>
      <c r="K625" s="20">
        <v>1713500</v>
      </c>
      <c r="L625" s="23">
        <v>600000</v>
      </c>
      <c r="M625" s="23">
        <v>250000</v>
      </c>
      <c r="N625" s="22">
        <v>150000</v>
      </c>
      <c r="O625" s="13">
        <v>127000</v>
      </c>
      <c r="P625" s="22">
        <v>0</v>
      </c>
      <c r="Q625" s="23">
        <v>0</v>
      </c>
      <c r="R625" s="21">
        <f t="shared" si="21"/>
        <v>586500</v>
      </c>
    </row>
    <row r="626" spans="1:18" ht="14.25" customHeight="1">
      <c r="A626" s="15">
        <v>250803109</v>
      </c>
      <c r="B626" s="15" t="s">
        <v>19</v>
      </c>
      <c r="C626" s="36" t="s">
        <v>20</v>
      </c>
      <c r="D626" s="10" t="s">
        <v>243</v>
      </c>
      <c r="E626" s="74" t="s">
        <v>398</v>
      </c>
      <c r="F626" s="10" t="s">
        <v>58</v>
      </c>
      <c r="G626" s="10" t="s">
        <v>321</v>
      </c>
      <c r="H626" s="11">
        <v>45898</v>
      </c>
      <c r="I626" s="11">
        <v>45898</v>
      </c>
      <c r="J626" s="17" t="s">
        <v>365</v>
      </c>
      <c r="K626" s="73">
        <v>1713500</v>
      </c>
      <c r="L626" s="23">
        <v>600000</v>
      </c>
      <c r="M626" s="23">
        <v>250000</v>
      </c>
      <c r="N626" s="22">
        <v>150000</v>
      </c>
      <c r="O626" s="13">
        <v>50000</v>
      </c>
      <c r="P626" s="22">
        <v>50000</v>
      </c>
      <c r="Q626" s="23" t="s">
        <v>364</v>
      </c>
      <c r="R626" s="21">
        <f t="shared" si="21"/>
        <v>613500</v>
      </c>
    </row>
    <row r="627" spans="1:18" ht="14.25" customHeight="1">
      <c r="A627" s="76">
        <v>250800110</v>
      </c>
      <c r="B627" s="76" t="s">
        <v>366</v>
      </c>
      <c r="C627" s="90" t="s">
        <v>367</v>
      </c>
      <c r="D627" s="76" t="s">
        <v>366</v>
      </c>
      <c r="E627" s="76" t="s">
        <v>396</v>
      </c>
      <c r="F627" s="76" t="s">
        <v>38</v>
      </c>
      <c r="G627" s="76" t="s">
        <v>36</v>
      </c>
      <c r="H627" s="92">
        <v>45899</v>
      </c>
      <c r="I627" s="92">
        <v>45901</v>
      </c>
      <c r="J627" s="113" t="s">
        <v>368</v>
      </c>
      <c r="K627" s="127">
        <v>4250000</v>
      </c>
      <c r="L627" s="106">
        <v>2100000</v>
      </c>
      <c r="M627" s="106">
        <v>700000</v>
      </c>
      <c r="N627" s="106">
        <v>445000</v>
      </c>
      <c r="O627" s="106">
        <v>0</v>
      </c>
      <c r="P627" s="106">
        <v>0</v>
      </c>
      <c r="Q627" s="106">
        <v>0</v>
      </c>
      <c r="R627" s="112">
        <f>SUM(K627-L627-L628-L629-M627-M628-M629-N627)</f>
        <v>1005000</v>
      </c>
    </row>
    <row r="628" spans="1:18" ht="14.2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</row>
    <row r="629" spans="1:18" ht="14.2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</row>
    <row r="630" spans="1:18" ht="14.25" customHeight="1">
      <c r="J630" s="58"/>
      <c r="K630" s="137"/>
      <c r="R630" s="137"/>
    </row>
    <row r="631" spans="1:18" ht="14.25" customHeight="1">
      <c r="J631" s="58"/>
    </row>
    <row r="632" spans="1:18" ht="14.25" customHeight="1">
      <c r="J632" s="58"/>
    </row>
    <row r="633" spans="1:18" ht="14.25" customHeight="1">
      <c r="J633" s="58"/>
    </row>
    <row r="634" spans="1:18" ht="14.25" customHeight="1">
      <c r="J634" s="58"/>
    </row>
    <row r="635" spans="1:18" ht="14.25" customHeight="1">
      <c r="J635" s="58"/>
    </row>
    <row r="636" spans="1:18" ht="14.25" customHeight="1">
      <c r="J636" s="58"/>
    </row>
    <row r="637" spans="1:18" ht="14.25" customHeight="1">
      <c r="J637" s="58"/>
    </row>
    <row r="638" spans="1:18" ht="14.25" customHeight="1">
      <c r="J638" s="58"/>
    </row>
    <row r="639" spans="1:18" ht="14.25" customHeight="1">
      <c r="J639" s="58"/>
    </row>
    <row r="640" spans="1:18" ht="14.25" customHeight="1">
      <c r="J640" s="58"/>
    </row>
    <row r="641" spans="10:10" ht="14.25" customHeight="1">
      <c r="J641" s="58"/>
    </row>
    <row r="642" spans="10:10" ht="14.25" customHeight="1">
      <c r="J642" s="58"/>
    </row>
    <row r="643" spans="10:10" ht="14.25" customHeight="1">
      <c r="J643" s="58"/>
    </row>
    <row r="644" spans="10:10" ht="14.25" customHeight="1">
      <c r="J644" s="58"/>
    </row>
    <row r="645" spans="10:10" ht="14.25" customHeight="1">
      <c r="J645" s="58"/>
    </row>
    <row r="646" spans="10:10" ht="14.25" customHeight="1">
      <c r="J646" s="58"/>
    </row>
    <row r="647" spans="10:10" ht="14.25" customHeight="1">
      <c r="J647" s="58"/>
    </row>
    <row r="648" spans="10:10" ht="14.25" customHeight="1">
      <c r="J648" s="58"/>
    </row>
    <row r="649" spans="10:10" ht="14.25" customHeight="1">
      <c r="J649" s="58"/>
    </row>
    <row r="650" spans="10:10" ht="14.25" customHeight="1">
      <c r="J650" s="58"/>
    </row>
    <row r="651" spans="10:10" ht="14.25" customHeight="1">
      <c r="J651" s="58"/>
    </row>
    <row r="652" spans="10:10" ht="14.25" customHeight="1">
      <c r="J652" s="58"/>
    </row>
    <row r="653" spans="10:10" ht="14.25" customHeight="1">
      <c r="J653" s="58"/>
    </row>
    <row r="654" spans="10:10" ht="14.25" customHeight="1">
      <c r="J654" s="58"/>
    </row>
    <row r="655" spans="10:10" ht="14.25" customHeight="1">
      <c r="J655" s="58"/>
    </row>
    <row r="656" spans="10:10" ht="14.25" customHeight="1">
      <c r="J656" s="58"/>
    </row>
    <row r="657" spans="10:10" ht="14.25" customHeight="1">
      <c r="J657" s="58"/>
    </row>
    <row r="658" spans="10:10" ht="14.25" customHeight="1">
      <c r="J658" s="58"/>
    </row>
    <row r="659" spans="10:10" ht="14.25" customHeight="1">
      <c r="J659" s="58"/>
    </row>
    <row r="660" spans="10:10" ht="14.25" customHeight="1">
      <c r="J660" s="58"/>
    </row>
    <row r="661" spans="10:10" ht="14.25" customHeight="1">
      <c r="J661" s="58"/>
    </row>
    <row r="662" spans="10:10" ht="14.25" customHeight="1">
      <c r="J662" s="58"/>
    </row>
    <row r="663" spans="10:10" ht="14.25" customHeight="1">
      <c r="J663" s="58"/>
    </row>
    <row r="664" spans="10:10" ht="14.25" customHeight="1">
      <c r="J664" s="58"/>
    </row>
    <row r="665" spans="10:10" ht="14.25" customHeight="1">
      <c r="J665" s="58"/>
    </row>
    <row r="666" spans="10:10" ht="14.25" customHeight="1">
      <c r="J666" s="58"/>
    </row>
    <row r="667" spans="10:10" ht="14.25" customHeight="1">
      <c r="J667" s="58"/>
    </row>
    <row r="668" spans="10:10" ht="14.25" customHeight="1">
      <c r="J668" s="58"/>
    </row>
    <row r="669" spans="10:10" ht="14.25" customHeight="1">
      <c r="J669" s="58"/>
    </row>
    <row r="670" spans="10:10" ht="14.25" customHeight="1">
      <c r="J670" s="58"/>
    </row>
    <row r="671" spans="10:10" ht="14.25" customHeight="1">
      <c r="J671" s="58"/>
    </row>
    <row r="672" spans="10:10" ht="14.25" customHeight="1">
      <c r="J672" s="58"/>
    </row>
    <row r="673" spans="10:10" ht="14.25" customHeight="1">
      <c r="J673" s="58"/>
    </row>
    <row r="674" spans="10:10" ht="14.25" customHeight="1">
      <c r="J674" s="58"/>
    </row>
    <row r="675" spans="10:10" ht="14.25" customHeight="1">
      <c r="J675" s="58"/>
    </row>
    <row r="676" spans="10:10" ht="14.25" customHeight="1">
      <c r="J676" s="58"/>
    </row>
    <row r="677" spans="10:10" ht="14.25" customHeight="1">
      <c r="J677" s="58"/>
    </row>
    <row r="678" spans="10:10" ht="14.25" customHeight="1">
      <c r="J678" s="58"/>
    </row>
    <row r="679" spans="10:10" ht="14.25" customHeight="1">
      <c r="J679" s="58"/>
    </row>
    <row r="680" spans="10:10" ht="14.25" customHeight="1">
      <c r="J680" s="58"/>
    </row>
    <row r="681" spans="10:10" ht="14.25" customHeight="1">
      <c r="J681" s="58"/>
    </row>
    <row r="682" spans="10:10" ht="14.25" customHeight="1">
      <c r="J682" s="58"/>
    </row>
    <row r="683" spans="10:10" ht="14.25" customHeight="1">
      <c r="J683" s="58"/>
    </row>
    <row r="684" spans="10:10" ht="14.25" customHeight="1">
      <c r="J684" s="58"/>
    </row>
    <row r="685" spans="10:10" ht="14.25" customHeight="1">
      <c r="J685" s="58"/>
    </row>
    <row r="686" spans="10:10" ht="14.25" customHeight="1">
      <c r="J686" s="58"/>
    </row>
    <row r="687" spans="10:10" ht="14.25" customHeight="1">
      <c r="J687" s="58"/>
    </row>
    <row r="688" spans="10:10" ht="14.25" customHeight="1">
      <c r="J688" s="58"/>
    </row>
    <row r="689" spans="10:10" ht="14.25" customHeight="1">
      <c r="J689" s="58"/>
    </row>
    <row r="690" spans="10:10" ht="14.25" customHeight="1">
      <c r="J690" s="58"/>
    </row>
    <row r="691" spans="10:10" ht="14.25" customHeight="1">
      <c r="J691" s="58"/>
    </row>
    <row r="692" spans="10:10" ht="14.25" customHeight="1">
      <c r="J692" s="58"/>
    </row>
    <row r="693" spans="10:10" ht="14.25" customHeight="1">
      <c r="J693" s="58"/>
    </row>
    <row r="694" spans="10:10" ht="14.25" customHeight="1">
      <c r="J694" s="58"/>
    </row>
    <row r="695" spans="10:10" ht="14.25" customHeight="1">
      <c r="J695" s="58"/>
    </row>
    <row r="696" spans="10:10" ht="14.25" customHeight="1">
      <c r="J696" s="58"/>
    </row>
    <row r="697" spans="10:10" ht="14.25" customHeight="1">
      <c r="J697" s="58"/>
    </row>
    <row r="698" spans="10:10" ht="14.25" customHeight="1">
      <c r="J698" s="58"/>
    </row>
    <row r="699" spans="10:10" ht="14.25" customHeight="1">
      <c r="J699" s="58"/>
    </row>
    <row r="700" spans="10:10" ht="14.25" customHeight="1">
      <c r="J700" s="58"/>
    </row>
    <row r="701" spans="10:10" ht="14.25" customHeight="1">
      <c r="J701" s="58"/>
    </row>
    <row r="702" spans="10:10" ht="14.25" customHeight="1">
      <c r="J702" s="58"/>
    </row>
    <row r="703" spans="10:10" ht="14.25" customHeight="1">
      <c r="J703" s="58"/>
    </row>
    <row r="704" spans="10:10" ht="14.25" customHeight="1">
      <c r="J704" s="58"/>
    </row>
    <row r="705" spans="10:10" ht="14.25" customHeight="1">
      <c r="J705" s="58"/>
    </row>
    <row r="706" spans="10:10" ht="14.25" customHeight="1">
      <c r="J706" s="58"/>
    </row>
    <row r="707" spans="10:10" ht="14.25" customHeight="1">
      <c r="J707" s="58"/>
    </row>
    <row r="708" spans="10:10" ht="14.25" customHeight="1">
      <c r="J708" s="58"/>
    </row>
    <row r="709" spans="10:10" ht="14.25" customHeight="1">
      <c r="J709" s="58"/>
    </row>
    <row r="710" spans="10:10" ht="14.25" customHeight="1">
      <c r="J710" s="58"/>
    </row>
    <row r="711" spans="10:10" ht="14.25" customHeight="1">
      <c r="J711" s="58"/>
    </row>
    <row r="712" spans="10:10" ht="14.25" customHeight="1">
      <c r="J712" s="58"/>
    </row>
    <row r="713" spans="10:10" ht="14.25" customHeight="1">
      <c r="J713" s="58"/>
    </row>
    <row r="714" spans="10:10" ht="14.25" customHeight="1">
      <c r="J714" s="58"/>
    </row>
    <row r="715" spans="10:10" ht="14.25" customHeight="1">
      <c r="J715" s="58"/>
    </row>
    <row r="716" spans="10:10" ht="14.25" customHeight="1">
      <c r="J716" s="58"/>
    </row>
    <row r="717" spans="10:10" ht="14.25" customHeight="1">
      <c r="J717" s="58"/>
    </row>
    <row r="718" spans="10:10" ht="14.25" customHeight="1">
      <c r="J718" s="58"/>
    </row>
    <row r="719" spans="10:10" ht="14.25" customHeight="1">
      <c r="J719" s="58"/>
    </row>
    <row r="720" spans="10:10" ht="14.25" customHeight="1">
      <c r="J720" s="58"/>
    </row>
    <row r="721" spans="10:10" ht="14.25" customHeight="1">
      <c r="J721" s="58"/>
    </row>
    <row r="722" spans="10:10" ht="14.25" customHeight="1">
      <c r="J722" s="58"/>
    </row>
    <row r="723" spans="10:10" ht="14.25" customHeight="1">
      <c r="J723" s="58"/>
    </row>
    <row r="724" spans="10:10" ht="14.25" customHeight="1">
      <c r="J724" s="58"/>
    </row>
    <row r="725" spans="10:10" ht="14.25" customHeight="1">
      <c r="J725" s="58"/>
    </row>
    <row r="726" spans="10:10" ht="14.25" customHeight="1">
      <c r="J726" s="58"/>
    </row>
    <row r="727" spans="10:10" ht="14.25" customHeight="1">
      <c r="J727" s="58"/>
    </row>
    <row r="728" spans="10:10" ht="14.25" customHeight="1">
      <c r="J728" s="58"/>
    </row>
    <row r="729" spans="10:10" ht="14.25" customHeight="1">
      <c r="J729" s="58"/>
    </row>
    <row r="730" spans="10:10" ht="14.25" customHeight="1">
      <c r="J730" s="58"/>
    </row>
    <row r="731" spans="10:10" ht="14.25" customHeight="1">
      <c r="J731" s="58"/>
    </row>
    <row r="732" spans="10:10" ht="14.25" customHeight="1">
      <c r="J732" s="58"/>
    </row>
    <row r="733" spans="10:10" ht="14.25" customHeight="1">
      <c r="J733" s="58"/>
    </row>
    <row r="734" spans="10:10" ht="14.25" customHeight="1">
      <c r="J734" s="58"/>
    </row>
    <row r="735" spans="10:10" ht="14.25" customHeight="1">
      <c r="J735" s="58"/>
    </row>
    <row r="736" spans="10:10" ht="14.25" customHeight="1">
      <c r="J736" s="58"/>
    </row>
    <row r="737" spans="10:10" ht="14.25" customHeight="1">
      <c r="J737" s="58"/>
    </row>
    <row r="738" spans="10:10" ht="14.25" customHeight="1">
      <c r="J738" s="58"/>
    </row>
    <row r="739" spans="10:10" ht="14.25" customHeight="1">
      <c r="J739" s="58"/>
    </row>
    <row r="740" spans="10:10" ht="14.25" customHeight="1">
      <c r="J740" s="58"/>
    </row>
    <row r="741" spans="10:10" ht="14.25" customHeight="1">
      <c r="J741" s="58"/>
    </row>
    <row r="742" spans="10:10" ht="14.25" customHeight="1">
      <c r="J742" s="58"/>
    </row>
    <row r="743" spans="10:10" ht="14.25" customHeight="1">
      <c r="J743" s="58"/>
    </row>
    <row r="744" spans="10:10" ht="14.25" customHeight="1">
      <c r="J744" s="58"/>
    </row>
    <row r="745" spans="10:10" ht="14.25" customHeight="1">
      <c r="J745" s="58"/>
    </row>
    <row r="746" spans="10:10" ht="14.25" customHeight="1">
      <c r="J746" s="58"/>
    </row>
    <row r="747" spans="10:10" ht="14.25" customHeight="1">
      <c r="J747" s="58"/>
    </row>
    <row r="748" spans="10:10" ht="14.25" customHeight="1">
      <c r="J748" s="58"/>
    </row>
    <row r="749" spans="10:10" ht="14.25" customHeight="1">
      <c r="J749" s="58"/>
    </row>
    <row r="750" spans="10:10" ht="14.25" customHeight="1">
      <c r="J750" s="58"/>
    </row>
    <row r="751" spans="10:10" ht="14.25" customHeight="1">
      <c r="J751" s="58"/>
    </row>
    <row r="752" spans="10:10" ht="14.25" customHeight="1">
      <c r="J752" s="58"/>
    </row>
    <row r="753" spans="10:10" ht="14.25" customHeight="1">
      <c r="J753" s="58"/>
    </row>
    <row r="754" spans="10:10" ht="14.25" customHeight="1">
      <c r="J754" s="58"/>
    </row>
    <row r="755" spans="10:10" ht="14.25" customHeight="1">
      <c r="J755" s="58"/>
    </row>
    <row r="756" spans="10:10" ht="14.25" customHeight="1">
      <c r="J756" s="58"/>
    </row>
    <row r="757" spans="10:10" ht="14.25" customHeight="1">
      <c r="J757" s="58"/>
    </row>
    <row r="758" spans="10:10" ht="14.25" customHeight="1">
      <c r="J758" s="58"/>
    </row>
    <row r="759" spans="10:10" ht="14.25" customHeight="1">
      <c r="J759" s="58"/>
    </row>
    <row r="760" spans="10:10" ht="14.25" customHeight="1">
      <c r="J760" s="58"/>
    </row>
    <row r="761" spans="10:10" ht="14.25" customHeight="1">
      <c r="J761" s="58"/>
    </row>
    <row r="762" spans="10:10" ht="14.25" customHeight="1">
      <c r="J762" s="58"/>
    </row>
    <row r="763" spans="10:10" ht="14.25" customHeight="1">
      <c r="J763" s="58"/>
    </row>
    <row r="764" spans="10:10" ht="14.25" customHeight="1">
      <c r="J764" s="58"/>
    </row>
    <row r="765" spans="10:10" ht="14.25" customHeight="1">
      <c r="J765" s="58"/>
    </row>
    <row r="766" spans="10:10" ht="14.25" customHeight="1">
      <c r="J766" s="58"/>
    </row>
    <row r="767" spans="10:10" ht="14.25" customHeight="1">
      <c r="J767" s="58"/>
    </row>
    <row r="768" spans="10:10" ht="14.25" customHeight="1">
      <c r="J768" s="58"/>
    </row>
    <row r="769" spans="10:10" ht="14.25" customHeight="1">
      <c r="J769" s="58"/>
    </row>
    <row r="770" spans="10:10" ht="14.25" customHeight="1">
      <c r="J770" s="58"/>
    </row>
    <row r="771" spans="10:10" ht="14.25" customHeight="1">
      <c r="J771" s="58"/>
    </row>
    <row r="772" spans="10:10" ht="14.25" customHeight="1">
      <c r="J772" s="58"/>
    </row>
    <row r="773" spans="10:10" ht="14.25" customHeight="1">
      <c r="J773" s="58"/>
    </row>
    <row r="774" spans="10:10" ht="14.25" customHeight="1">
      <c r="J774" s="58"/>
    </row>
    <row r="775" spans="10:10" ht="14.25" customHeight="1">
      <c r="J775" s="58"/>
    </row>
    <row r="776" spans="10:10" ht="14.25" customHeight="1">
      <c r="J776" s="58"/>
    </row>
    <row r="777" spans="10:10" ht="14.25" customHeight="1">
      <c r="J777" s="58"/>
    </row>
    <row r="778" spans="10:10" ht="14.25" customHeight="1">
      <c r="J778" s="58"/>
    </row>
    <row r="779" spans="10:10" ht="14.25" customHeight="1">
      <c r="J779" s="58"/>
    </row>
    <row r="780" spans="10:10" ht="14.25" customHeight="1">
      <c r="J780" s="58"/>
    </row>
    <row r="781" spans="10:10" ht="14.25" customHeight="1">
      <c r="J781" s="58"/>
    </row>
    <row r="782" spans="10:10" ht="14.25" customHeight="1">
      <c r="J782" s="58"/>
    </row>
    <row r="783" spans="10:10" ht="14.25" customHeight="1">
      <c r="J783" s="58"/>
    </row>
    <row r="784" spans="10:10" ht="14.25" customHeight="1">
      <c r="J784" s="58"/>
    </row>
    <row r="785" spans="10:10" ht="14.25" customHeight="1">
      <c r="J785" s="58"/>
    </row>
    <row r="786" spans="10:10" ht="14.25" customHeight="1">
      <c r="J786" s="58"/>
    </row>
    <row r="787" spans="10:10" ht="14.25" customHeight="1">
      <c r="J787" s="58"/>
    </row>
    <row r="788" spans="10:10" ht="14.25" customHeight="1">
      <c r="J788" s="58"/>
    </row>
    <row r="789" spans="10:10" ht="14.25" customHeight="1">
      <c r="J789" s="58"/>
    </row>
    <row r="790" spans="10:10" ht="14.25" customHeight="1">
      <c r="J790" s="58"/>
    </row>
    <row r="791" spans="10:10" ht="14.25" customHeight="1">
      <c r="J791" s="58"/>
    </row>
    <row r="792" spans="10:10" ht="14.25" customHeight="1">
      <c r="J792" s="58"/>
    </row>
    <row r="793" spans="10:10" ht="14.25" customHeight="1">
      <c r="J793" s="58"/>
    </row>
    <row r="794" spans="10:10" ht="14.25" customHeight="1">
      <c r="J794" s="58"/>
    </row>
    <row r="795" spans="10:10" ht="14.25" customHeight="1">
      <c r="J795" s="58"/>
    </row>
    <row r="796" spans="10:10" ht="14.25" customHeight="1">
      <c r="J796" s="58"/>
    </row>
    <row r="797" spans="10:10" ht="14.25" customHeight="1">
      <c r="J797" s="58"/>
    </row>
    <row r="798" spans="10:10" ht="14.25" customHeight="1">
      <c r="J798" s="58"/>
    </row>
    <row r="799" spans="10:10" ht="14.25" customHeight="1">
      <c r="J799" s="58"/>
    </row>
    <row r="800" spans="10:10" ht="14.25" customHeight="1">
      <c r="J800" s="58"/>
    </row>
    <row r="801" spans="10:10" ht="14.25" customHeight="1">
      <c r="J801" s="58"/>
    </row>
    <row r="802" spans="10:10" ht="14.25" customHeight="1">
      <c r="J802" s="58"/>
    </row>
    <row r="803" spans="10:10" ht="14.25" customHeight="1">
      <c r="J803" s="58"/>
    </row>
    <row r="804" spans="10:10" ht="14.25" customHeight="1">
      <c r="J804" s="58"/>
    </row>
    <row r="805" spans="10:10" ht="14.25" customHeight="1">
      <c r="J805" s="58"/>
    </row>
    <row r="806" spans="10:10" ht="14.25" customHeight="1">
      <c r="J806" s="58"/>
    </row>
    <row r="807" spans="10:10" ht="14.25" customHeight="1">
      <c r="J807" s="58"/>
    </row>
    <row r="808" spans="10:10" ht="14.25" customHeight="1">
      <c r="J808" s="58"/>
    </row>
    <row r="809" spans="10:10" ht="14.25" customHeight="1">
      <c r="J809" s="58"/>
    </row>
    <row r="810" spans="10:10" ht="14.25" customHeight="1">
      <c r="J810" s="58"/>
    </row>
    <row r="811" spans="10:10" ht="14.25" customHeight="1">
      <c r="J811" s="58"/>
    </row>
    <row r="812" spans="10:10" ht="14.25" customHeight="1">
      <c r="J812" s="58"/>
    </row>
    <row r="813" spans="10:10" ht="14.25" customHeight="1">
      <c r="J813" s="58"/>
    </row>
    <row r="814" spans="10:10" ht="14.25" customHeight="1">
      <c r="J814" s="58"/>
    </row>
    <row r="815" spans="10:10" ht="14.25" customHeight="1">
      <c r="J815" s="58"/>
    </row>
    <row r="816" spans="10:10" ht="14.25" customHeight="1">
      <c r="J816" s="58"/>
    </row>
    <row r="817" spans="10:10" ht="14.25" customHeight="1">
      <c r="J817" s="58"/>
    </row>
    <row r="818" spans="10:10" ht="14.25" customHeight="1">
      <c r="J818" s="58"/>
    </row>
    <row r="819" spans="10:10" ht="14.25" customHeight="1">
      <c r="J819" s="58"/>
    </row>
    <row r="820" spans="10:10" ht="14.25" customHeight="1">
      <c r="J820" s="58"/>
    </row>
    <row r="821" spans="10:10" ht="14.25" customHeight="1">
      <c r="J821" s="58"/>
    </row>
    <row r="822" spans="10:10" ht="14.25" customHeight="1">
      <c r="J822" s="58"/>
    </row>
    <row r="823" spans="10:10" ht="14.25" customHeight="1">
      <c r="J823" s="58"/>
    </row>
    <row r="824" spans="10:10" ht="14.25" customHeight="1">
      <c r="J824" s="58"/>
    </row>
    <row r="825" spans="10:10" ht="14.25" customHeight="1">
      <c r="J825" s="58"/>
    </row>
    <row r="826" spans="10:10" ht="14.25" customHeight="1">
      <c r="J826" s="58"/>
    </row>
    <row r="827" spans="10:10" ht="14.25" customHeight="1">
      <c r="J827" s="58"/>
    </row>
    <row r="828" spans="10:10" ht="14.25" customHeight="1">
      <c r="J828" s="58"/>
    </row>
    <row r="829" spans="10:10" ht="14.25" customHeight="1">
      <c r="J829" s="58"/>
    </row>
    <row r="830" spans="10:10" ht="14.25" customHeight="1">
      <c r="J830" s="58"/>
    </row>
    <row r="831" spans="10:10" ht="14.25" customHeight="1">
      <c r="J831" s="58"/>
    </row>
    <row r="832" spans="10:10" ht="14.25" customHeight="1">
      <c r="J832" s="58"/>
    </row>
    <row r="833" spans="10:10" ht="14.25" customHeight="1">
      <c r="J833" s="58"/>
    </row>
    <row r="834" spans="10:10" ht="14.25" customHeight="1">
      <c r="J834" s="58"/>
    </row>
    <row r="835" spans="10:10" ht="14.25" customHeight="1">
      <c r="J835" s="58"/>
    </row>
    <row r="836" spans="10:10" ht="14.25" customHeight="1">
      <c r="J836" s="58"/>
    </row>
    <row r="837" spans="10:10" ht="14.25" customHeight="1">
      <c r="J837" s="58"/>
    </row>
    <row r="838" spans="10:10" ht="14.25" customHeight="1">
      <c r="J838" s="58"/>
    </row>
    <row r="839" spans="10:10" ht="14.25" customHeight="1">
      <c r="J839" s="58"/>
    </row>
    <row r="840" spans="10:10" ht="14.25" customHeight="1">
      <c r="J840" s="58"/>
    </row>
    <row r="841" spans="10:10" ht="14.25" customHeight="1">
      <c r="J841" s="58"/>
    </row>
    <row r="842" spans="10:10" ht="14.25" customHeight="1">
      <c r="J842" s="58"/>
    </row>
    <row r="843" spans="10:10" ht="14.25" customHeight="1">
      <c r="J843" s="58"/>
    </row>
    <row r="844" spans="10:10" ht="14.25" customHeight="1">
      <c r="J844" s="58"/>
    </row>
    <row r="845" spans="10:10" ht="14.25" customHeight="1">
      <c r="J845" s="58"/>
    </row>
    <row r="846" spans="10:10" ht="14.25" customHeight="1">
      <c r="J846" s="58"/>
    </row>
    <row r="847" spans="10:10" ht="14.25" customHeight="1">
      <c r="J847" s="58"/>
    </row>
    <row r="848" spans="10:10" ht="14.25" customHeight="1">
      <c r="J848" s="58"/>
    </row>
    <row r="849" spans="10:10" ht="14.25" customHeight="1">
      <c r="J849" s="58"/>
    </row>
    <row r="850" spans="10:10" ht="14.25" customHeight="1">
      <c r="J850" s="58"/>
    </row>
    <row r="851" spans="10:10" ht="14.25" customHeight="1">
      <c r="J851" s="58"/>
    </row>
    <row r="852" spans="10:10" ht="14.25" customHeight="1">
      <c r="J852" s="58"/>
    </row>
    <row r="853" spans="10:10" ht="14.25" customHeight="1">
      <c r="J853" s="58"/>
    </row>
    <row r="854" spans="10:10" ht="14.25" customHeight="1">
      <c r="J854" s="58"/>
    </row>
    <row r="855" spans="10:10" ht="14.25" customHeight="1">
      <c r="J855" s="58"/>
    </row>
    <row r="856" spans="10:10" ht="14.25" customHeight="1">
      <c r="J856" s="58"/>
    </row>
    <row r="857" spans="10:10" ht="14.25" customHeight="1">
      <c r="J857" s="58"/>
    </row>
    <row r="858" spans="10:10" ht="14.25" customHeight="1">
      <c r="J858" s="58"/>
    </row>
    <row r="859" spans="10:10" ht="14.25" customHeight="1">
      <c r="J859" s="58"/>
    </row>
    <row r="860" spans="10:10" ht="14.25" customHeight="1">
      <c r="J860" s="58"/>
    </row>
    <row r="861" spans="10:10" ht="14.25" customHeight="1">
      <c r="J861" s="58"/>
    </row>
    <row r="862" spans="10:10" ht="14.25" customHeight="1">
      <c r="J862" s="58"/>
    </row>
    <row r="863" spans="10:10" ht="14.25" customHeight="1">
      <c r="J863" s="58"/>
    </row>
    <row r="864" spans="10:10" ht="14.25" customHeight="1">
      <c r="J864" s="58"/>
    </row>
    <row r="865" spans="10:10" ht="14.25" customHeight="1">
      <c r="J865" s="58"/>
    </row>
    <row r="866" spans="10:10" ht="14.25" customHeight="1">
      <c r="J866" s="58"/>
    </row>
    <row r="867" spans="10:10" ht="14.25" customHeight="1">
      <c r="J867" s="58"/>
    </row>
    <row r="868" spans="10:10" ht="14.25" customHeight="1">
      <c r="J868" s="58"/>
    </row>
    <row r="869" spans="10:10" ht="14.25" customHeight="1">
      <c r="J869" s="58"/>
    </row>
    <row r="870" spans="10:10" ht="14.25" customHeight="1">
      <c r="J870" s="58"/>
    </row>
    <row r="871" spans="10:10" ht="14.25" customHeight="1">
      <c r="J871" s="58"/>
    </row>
    <row r="872" spans="10:10" ht="14.25" customHeight="1">
      <c r="J872" s="58"/>
    </row>
    <row r="873" spans="10:10" ht="14.25" customHeight="1">
      <c r="J873" s="58"/>
    </row>
    <row r="874" spans="10:10" ht="14.25" customHeight="1">
      <c r="J874" s="58"/>
    </row>
    <row r="875" spans="10:10" ht="14.25" customHeight="1">
      <c r="J875" s="58"/>
    </row>
    <row r="876" spans="10:10" ht="14.25" customHeight="1">
      <c r="J876" s="58"/>
    </row>
    <row r="877" spans="10:10" ht="14.25" customHeight="1">
      <c r="J877" s="58"/>
    </row>
    <row r="878" spans="10:10" ht="14.25" customHeight="1">
      <c r="J878" s="58"/>
    </row>
    <row r="879" spans="10:10" ht="14.25" customHeight="1">
      <c r="J879" s="58"/>
    </row>
    <row r="880" spans="10:10" ht="14.25" customHeight="1">
      <c r="J880" s="58"/>
    </row>
    <row r="881" spans="10:10" ht="14.25" customHeight="1">
      <c r="J881" s="58"/>
    </row>
    <row r="882" spans="10:10" ht="14.25" customHeight="1">
      <c r="J882" s="58"/>
    </row>
    <row r="883" spans="10:10" ht="14.25" customHeight="1">
      <c r="J883" s="58"/>
    </row>
    <row r="884" spans="10:10" ht="14.25" customHeight="1">
      <c r="J884" s="58"/>
    </row>
    <row r="885" spans="10:10" ht="14.25" customHeight="1">
      <c r="J885" s="58"/>
    </row>
    <row r="886" spans="10:10" ht="14.25" customHeight="1">
      <c r="J886" s="58"/>
    </row>
    <row r="887" spans="10:10" ht="14.25" customHeight="1">
      <c r="J887" s="58"/>
    </row>
    <row r="888" spans="10:10" ht="14.25" customHeight="1">
      <c r="J888" s="58"/>
    </row>
    <row r="889" spans="10:10" ht="14.25" customHeight="1">
      <c r="J889" s="58"/>
    </row>
    <row r="890" spans="10:10" ht="14.25" customHeight="1">
      <c r="J890" s="58"/>
    </row>
    <row r="891" spans="10:10" ht="14.25" customHeight="1">
      <c r="J891" s="58"/>
    </row>
    <row r="892" spans="10:10" ht="14.25" customHeight="1">
      <c r="J892" s="58"/>
    </row>
    <row r="893" spans="10:10" ht="14.25" customHeight="1">
      <c r="J893" s="58"/>
    </row>
    <row r="894" spans="10:10" ht="14.25" customHeight="1">
      <c r="J894" s="58"/>
    </row>
    <row r="895" spans="10:10" ht="14.25" customHeight="1">
      <c r="J895" s="58"/>
    </row>
    <row r="896" spans="10:10" ht="14.25" customHeight="1">
      <c r="J896" s="58"/>
    </row>
    <row r="897" spans="10:10" ht="14.25" customHeight="1">
      <c r="J897" s="58"/>
    </row>
    <row r="898" spans="10:10" ht="14.25" customHeight="1">
      <c r="J898" s="58"/>
    </row>
    <row r="899" spans="10:10" ht="14.25" customHeight="1">
      <c r="J899" s="58"/>
    </row>
    <row r="900" spans="10:10" ht="14.25" customHeight="1">
      <c r="J900" s="58"/>
    </row>
    <row r="901" spans="10:10" ht="14.25" customHeight="1">
      <c r="J901" s="58"/>
    </row>
    <row r="902" spans="10:10" ht="14.25" customHeight="1">
      <c r="J902" s="58"/>
    </row>
    <row r="903" spans="10:10" ht="14.25" customHeight="1">
      <c r="J903" s="58"/>
    </row>
    <row r="904" spans="10:10" ht="14.25" customHeight="1">
      <c r="J904" s="58"/>
    </row>
    <row r="905" spans="10:10" ht="14.25" customHeight="1">
      <c r="J905" s="58"/>
    </row>
    <row r="906" spans="10:10" ht="14.25" customHeight="1">
      <c r="J906" s="58"/>
    </row>
    <row r="907" spans="10:10" ht="14.25" customHeight="1">
      <c r="J907" s="58"/>
    </row>
    <row r="908" spans="10:10" ht="14.25" customHeight="1">
      <c r="J908" s="58"/>
    </row>
    <row r="909" spans="10:10" ht="14.25" customHeight="1">
      <c r="J909" s="58"/>
    </row>
    <row r="910" spans="10:10" ht="14.25" customHeight="1">
      <c r="J910" s="58"/>
    </row>
    <row r="911" spans="10:10" ht="14.25" customHeight="1">
      <c r="J911" s="58"/>
    </row>
    <row r="912" spans="10:10" ht="14.25" customHeight="1">
      <c r="J912" s="58"/>
    </row>
    <row r="913" spans="10:10" ht="14.25" customHeight="1">
      <c r="J913" s="58"/>
    </row>
    <row r="914" spans="10:10" ht="14.25" customHeight="1">
      <c r="J914" s="58"/>
    </row>
    <row r="915" spans="10:10" ht="14.25" customHeight="1">
      <c r="J915" s="58"/>
    </row>
    <row r="916" spans="10:10" ht="14.25" customHeight="1">
      <c r="J916" s="58"/>
    </row>
    <row r="917" spans="10:10" ht="14.25" customHeight="1">
      <c r="J917" s="58"/>
    </row>
    <row r="918" spans="10:10" ht="14.25" customHeight="1">
      <c r="J918" s="58"/>
    </row>
    <row r="919" spans="10:10" ht="14.25" customHeight="1">
      <c r="J919" s="58"/>
    </row>
    <row r="920" spans="10:10" ht="14.25" customHeight="1">
      <c r="J920" s="58"/>
    </row>
    <row r="921" spans="10:10" ht="14.25" customHeight="1">
      <c r="J921" s="58"/>
    </row>
    <row r="922" spans="10:10" ht="14.25" customHeight="1">
      <c r="J922" s="58"/>
    </row>
    <row r="923" spans="10:10" ht="14.25" customHeight="1">
      <c r="J923" s="58"/>
    </row>
    <row r="924" spans="10:10" ht="14.25" customHeight="1">
      <c r="J924" s="58"/>
    </row>
    <row r="925" spans="10:10" ht="14.25" customHeight="1">
      <c r="J925" s="58"/>
    </row>
    <row r="926" spans="10:10" ht="14.25" customHeight="1">
      <c r="J926" s="58"/>
    </row>
    <row r="927" spans="10:10" ht="14.25" customHeight="1">
      <c r="J927" s="58"/>
    </row>
    <row r="928" spans="10:10" ht="14.25" customHeight="1">
      <c r="J928" s="58"/>
    </row>
    <row r="929" spans="10:10" ht="14.25" customHeight="1">
      <c r="J929" s="58"/>
    </row>
    <row r="930" spans="10:10" ht="14.25" customHeight="1">
      <c r="J930" s="58"/>
    </row>
    <row r="931" spans="10:10" ht="14.25" customHeight="1">
      <c r="J931" s="58"/>
    </row>
    <row r="932" spans="10:10" ht="14.25" customHeight="1">
      <c r="J932" s="58"/>
    </row>
    <row r="933" spans="10:10" ht="14.25" customHeight="1">
      <c r="J933" s="58"/>
    </row>
    <row r="934" spans="10:10" ht="14.25" customHeight="1">
      <c r="J934" s="58"/>
    </row>
    <row r="935" spans="10:10" ht="14.25" customHeight="1">
      <c r="J935" s="58"/>
    </row>
    <row r="936" spans="10:10" ht="14.25" customHeight="1">
      <c r="J936" s="58"/>
    </row>
    <row r="937" spans="10:10" ht="14.25" customHeight="1">
      <c r="J937" s="58"/>
    </row>
    <row r="938" spans="10:10" ht="14.25" customHeight="1">
      <c r="J938" s="58"/>
    </row>
    <row r="939" spans="10:10" ht="14.25" customHeight="1">
      <c r="J939" s="58"/>
    </row>
    <row r="940" spans="10:10" ht="14.25" customHeight="1">
      <c r="J940" s="58"/>
    </row>
    <row r="941" spans="10:10" ht="14.25" customHeight="1">
      <c r="J941" s="58"/>
    </row>
    <row r="942" spans="10:10" ht="14.25" customHeight="1">
      <c r="J942" s="58"/>
    </row>
    <row r="943" spans="10:10" ht="14.25" customHeight="1">
      <c r="J943" s="58"/>
    </row>
    <row r="944" spans="10:10" ht="14.25" customHeight="1">
      <c r="J944" s="58"/>
    </row>
    <row r="945" spans="10:10" ht="14.25" customHeight="1">
      <c r="J945" s="58"/>
    </row>
    <row r="946" spans="10:10" ht="14.25" customHeight="1">
      <c r="J946" s="58"/>
    </row>
    <row r="947" spans="10:10" ht="14.25" customHeight="1">
      <c r="J947" s="58"/>
    </row>
    <row r="948" spans="10:10" ht="14.25" customHeight="1">
      <c r="J948" s="58"/>
    </row>
    <row r="949" spans="10:10" ht="14.25" customHeight="1">
      <c r="J949" s="58"/>
    </row>
    <row r="950" spans="10:10" ht="14.25" customHeight="1">
      <c r="J950" s="58"/>
    </row>
    <row r="951" spans="10:10" ht="14.25" customHeight="1">
      <c r="J951" s="58"/>
    </row>
    <row r="952" spans="10:10" ht="14.25" customHeight="1">
      <c r="J952" s="58"/>
    </row>
    <row r="953" spans="10:10" ht="14.25" customHeight="1">
      <c r="J953" s="58"/>
    </row>
    <row r="954" spans="10:10" ht="14.25" customHeight="1">
      <c r="J954" s="58"/>
    </row>
    <row r="955" spans="10:10" ht="14.25" customHeight="1">
      <c r="J955" s="58"/>
    </row>
    <row r="956" spans="10:10" ht="14.25" customHeight="1">
      <c r="J956" s="58"/>
    </row>
    <row r="957" spans="10:10" ht="14.25" customHeight="1">
      <c r="J957" s="58"/>
    </row>
    <row r="958" spans="10:10" ht="14.25" customHeight="1">
      <c r="J958" s="58"/>
    </row>
    <row r="959" spans="10:10" ht="14.25" customHeight="1">
      <c r="J959" s="58"/>
    </row>
    <row r="960" spans="10:10" ht="14.25" customHeight="1">
      <c r="J960" s="58"/>
    </row>
    <row r="961" spans="10:10" ht="14.25" customHeight="1">
      <c r="J961" s="58"/>
    </row>
    <row r="962" spans="10:10" ht="14.25" customHeight="1">
      <c r="J962" s="58"/>
    </row>
    <row r="963" spans="10:10" ht="14.25" customHeight="1">
      <c r="J963" s="58"/>
    </row>
    <row r="964" spans="10:10" ht="14.25" customHeight="1">
      <c r="J964" s="58"/>
    </row>
    <row r="965" spans="10:10" ht="14.25" customHeight="1">
      <c r="J965" s="58"/>
    </row>
    <row r="966" spans="10:10" ht="14.25" customHeight="1">
      <c r="J966" s="58"/>
    </row>
    <row r="967" spans="10:10" ht="14.25" customHeight="1">
      <c r="J967" s="58"/>
    </row>
    <row r="968" spans="10:10" ht="14.25" customHeight="1">
      <c r="J968" s="58"/>
    </row>
    <row r="969" spans="10:10" ht="14.25" customHeight="1">
      <c r="J969" s="58"/>
    </row>
    <row r="970" spans="10:10" ht="14.25" customHeight="1">
      <c r="J970" s="58"/>
    </row>
    <row r="971" spans="10:10" ht="14.25" customHeight="1">
      <c r="J971" s="58"/>
    </row>
    <row r="972" spans="10:10" ht="14.25" customHeight="1">
      <c r="J972" s="58"/>
    </row>
    <row r="973" spans="10:10" ht="14.25" customHeight="1">
      <c r="J973" s="58"/>
    </row>
    <row r="974" spans="10:10" ht="14.25" customHeight="1">
      <c r="J974" s="58"/>
    </row>
    <row r="975" spans="10:10" ht="14.25" customHeight="1">
      <c r="J975" s="58"/>
    </row>
    <row r="976" spans="10:10" ht="14.25" customHeight="1">
      <c r="J976" s="58"/>
    </row>
    <row r="977" spans="10:10" ht="14.25" customHeight="1">
      <c r="J977" s="58"/>
    </row>
    <row r="978" spans="10:10" ht="14.25" customHeight="1">
      <c r="J978" s="58"/>
    </row>
    <row r="979" spans="10:10" ht="14.25" customHeight="1">
      <c r="J979" s="58"/>
    </row>
    <row r="980" spans="10:10" ht="14.25" customHeight="1">
      <c r="J980" s="58"/>
    </row>
    <row r="981" spans="10:10" ht="14.25" customHeight="1">
      <c r="J981" s="58"/>
    </row>
    <row r="982" spans="10:10" ht="14.25" customHeight="1">
      <c r="J982" s="58"/>
    </row>
  </sheetData>
  <mergeCells count="3023"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528:A529"/>
    <mergeCell ref="B528:B529"/>
    <mergeCell ref="C528:C529"/>
    <mergeCell ref="B576:B579"/>
    <mergeCell ref="P45:P47"/>
    <mergeCell ref="Q45:Q47"/>
    <mergeCell ref="I45:I47"/>
    <mergeCell ref="J45:J47"/>
    <mergeCell ref="K45:K47"/>
    <mergeCell ref="L45:L47"/>
    <mergeCell ref="M45:M47"/>
    <mergeCell ref="N45:N47"/>
    <mergeCell ref="O45:O47"/>
    <mergeCell ref="P37:P41"/>
    <mergeCell ref="Q37:Q41"/>
    <mergeCell ref="R37:R41"/>
    <mergeCell ref="I37:I41"/>
    <mergeCell ref="J37:J41"/>
    <mergeCell ref="K37:K41"/>
    <mergeCell ref="L37:L41"/>
    <mergeCell ref="M37:M41"/>
    <mergeCell ref="N37:N41"/>
    <mergeCell ref="O37:O41"/>
    <mergeCell ref="P74:P75"/>
    <mergeCell ref="Q74:Q75"/>
    <mergeCell ref="I74:I75"/>
    <mergeCell ref="J74:J75"/>
    <mergeCell ref="K74:K75"/>
    <mergeCell ref="L74:L75"/>
    <mergeCell ref="M74:M75"/>
    <mergeCell ref="N74:N75"/>
    <mergeCell ref="O74:O75"/>
    <mergeCell ref="P66:P69"/>
    <mergeCell ref="Q66:Q69"/>
    <mergeCell ref="R66:R69"/>
    <mergeCell ref="A37:A41"/>
    <mergeCell ref="B37:B41"/>
    <mergeCell ref="C37:C41"/>
    <mergeCell ref="D37:D41"/>
    <mergeCell ref="F37:F41"/>
    <mergeCell ref="G37:G41"/>
    <mergeCell ref="H37:H41"/>
    <mergeCell ref="P42:P44"/>
    <mergeCell ref="R42:R44"/>
    <mergeCell ref="R45:R47"/>
    <mergeCell ref="Q42:Q44"/>
    <mergeCell ref="I42:I44"/>
    <mergeCell ref="J42:J44"/>
    <mergeCell ref="K42:K44"/>
    <mergeCell ref="L42:L44"/>
    <mergeCell ref="M42:M44"/>
    <mergeCell ref="N42:N44"/>
    <mergeCell ref="O42:O44"/>
    <mergeCell ref="A42:A44"/>
    <mergeCell ref="B42:B44"/>
    <mergeCell ref="C42:C44"/>
    <mergeCell ref="D42:D44"/>
    <mergeCell ref="F42:F44"/>
    <mergeCell ref="G42:G44"/>
    <mergeCell ref="H42:H44"/>
    <mergeCell ref="A45:A47"/>
    <mergeCell ref="B45:B47"/>
    <mergeCell ref="C45:C47"/>
    <mergeCell ref="D45:D47"/>
    <mergeCell ref="F45:F47"/>
    <mergeCell ref="G45:G47"/>
    <mergeCell ref="H45:H47"/>
    <mergeCell ref="I66:I69"/>
    <mergeCell ref="J66:J69"/>
    <mergeCell ref="K66:K69"/>
    <mergeCell ref="L66:L69"/>
    <mergeCell ref="M66:M69"/>
    <mergeCell ref="N66:N69"/>
    <mergeCell ref="O66:O69"/>
    <mergeCell ref="A66:A69"/>
    <mergeCell ref="B66:B69"/>
    <mergeCell ref="C66:C69"/>
    <mergeCell ref="D66:D69"/>
    <mergeCell ref="F66:F69"/>
    <mergeCell ref="G66:G69"/>
    <mergeCell ref="H66:H69"/>
    <mergeCell ref="P70:P73"/>
    <mergeCell ref="Q70:Q73"/>
    <mergeCell ref="R70:R73"/>
    <mergeCell ref="E66:E69"/>
    <mergeCell ref="R74:R75"/>
    <mergeCell ref="I70:I73"/>
    <mergeCell ref="J70:J73"/>
    <mergeCell ref="K70:K73"/>
    <mergeCell ref="L70:L73"/>
    <mergeCell ref="M70:M73"/>
    <mergeCell ref="N70:N73"/>
    <mergeCell ref="O70:O73"/>
    <mergeCell ref="A70:A73"/>
    <mergeCell ref="B70:B73"/>
    <mergeCell ref="C70:C73"/>
    <mergeCell ref="D70:D73"/>
    <mergeCell ref="F70:F73"/>
    <mergeCell ref="G70:G73"/>
    <mergeCell ref="H70:H73"/>
    <mergeCell ref="A74:A75"/>
    <mergeCell ref="B74:B75"/>
    <mergeCell ref="C74:C75"/>
    <mergeCell ref="D74:D75"/>
    <mergeCell ref="F74:F75"/>
    <mergeCell ref="G74:G75"/>
    <mergeCell ref="H74:H75"/>
    <mergeCell ref="E70:E73"/>
    <mergeCell ref="E74:E75"/>
    <mergeCell ref="P85:P88"/>
    <mergeCell ref="Q85:Q88"/>
    <mergeCell ref="I85:I88"/>
    <mergeCell ref="J85:J88"/>
    <mergeCell ref="K85:K88"/>
    <mergeCell ref="L85:L88"/>
    <mergeCell ref="M85:M88"/>
    <mergeCell ref="N85:N88"/>
    <mergeCell ref="O85:O88"/>
    <mergeCell ref="P77:P80"/>
    <mergeCell ref="Q77:Q80"/>
    <mergeCell ref="R77:R80"/>
    <mergeCell ref="I77:I80"/>
    <mergeCell ref="J77:J80"/>
    <mergeCell ref="K77:K80"/>
    <mergeCell ref="L77:L80"/>
    <mergeCell ref="M77:M80"/>
    <mergeCell ref="N77:N80"/>
    <mergeCell ref="O77:O80"/>
    <mergeCell ref="A77:A80"/>
    <mergeCell ref="B77:B80"/>
    <mergeCell ref="C77:C80"/>
    <mergeCell ref="D77:D80"/>
    <mergeCell ref="F77:F80"/>
    <mergeCell ref="G77:G80"/>
    <mergeCell ref="H77:H80"/>
    <mergeCell ref="P82:P84"/>
    <mergeCell ref="Q82:Q84"/>
    <mergeCell ref="R82:R84"/>
    <mergeCell ref="R85:R88"/>
    <mergeCell ref="I82:I84"/>
    <mergeCell ref="J82:J84"/>
    <mergeCell ref="K82:K84"/>
    <mergeCell ref="L82:L84"/>
    <mergeCell ref="M82:M84"/>
    <mergeCell ref="N82:N84"/>
    <mergeCell ref="O82:O84"/>
    <mergeCell ref="A82:A84"/>
    <mergeCell ref="B82:B84"/>
    <mergeCell ref="C82:C84"/>
    <mergeCell ref="D82:D84"/>
    <mergeCell ref="F82:F84"/>
    <mergeCell ref="G82:G84"/>
    <mergeCell ref="H82:H84"/>
    <mergeCell ref="A85:A88"/>
    <mergeCell ref="B85:B88"/>
    <mergeCell ref="C85:C88"/>
    <mergeCell ref="D85:D88"/>
    <mergeCell ref="F85:F88"/>
    <mergeCell ref="G85:G88"/>
    <mergeCell ref="H85:H88"/>
    <mergeCell ref="P97:P99"/>
    <mergeCell ref="Q97:Q99"/>
    <mergeCell ref="I97:I99"/>
    <mergeCell ref="J97:J99"/>
    <mergeCell ref="K97:K99"/>
    <mergeCell ref="L97:L99"/>
    <mergeCell ref="M97:M99"/>
    <mergeCell ref="N97:N99"/>
    <mergeCell ref="O97:O99"/>
    <mergeCell ref="P89:P92"/>
    <mergeCell ref="Q89:Q92"/>
    <mergeCell ref="R89:R92"/>
    <mergeCell ref="I89:I92"/>
    <mergeCell ref="J89:J92"/>
    <mergeCell ref="K89:K92"/>
    <mergeCell ref="L89:L92"/>
    <mergeCell ref="M89:M92"/>
    <mergeCell ref="N89:N92"/>
    <mergeCell ref="O89:O92"/>
    <mergeCell ref="A89:A92"/>
    <mergeCell ref="B89:B92"/>
    <mergeCell ref="C89:C92"/>
    <mergeCell ref="D89:D92"/>
    <mergeCell ref="F89:F92"/>
    <mergeCell ref="G89:G92"/>
    <mergeCell ref="H89:H92"/>
    <mergeCell ref="P93:P96"/>
    <mergeCell ref="Q93:Q96"/>
    <mergeCell ref="R93:R96"/>
    <mergeCell ref="R97:R99"/>
    <mergeCell ref="I93:I96"/>
    <mergeCell ref="J93:J96"/>
    <mergeCell ref="K93:K96"/>
    <mergeCell ref="L93:L96"/>
    <mergeCell ref="M93:M96"/>
    <mergeCell ref="N93:N96"/>
    <mergeCell ref="O93:O96"/>
    <mergeCell ref="A93:A96"/>
    <mergeCell ref="B93:B96"/>
    <mergeCell ref="C93:C96"/>
    <mergeCell ref="D93:D96"/>
    <mergeCell ref="F93:F96"/>
    <mergeCell ref="G93:G96"/>
    <mergeCell ref="H93:H96"/>
    <mergeCell ref="A97:A99"/>
    <mergeCell ref="B97:B99"/>
    <mergeCell ref="C97:C99"/>
    <mergeCell ref="D97:D99"/>
    <mergeCell ref="F97:F99"/>
    <mergeCell ref="G97:G99"/>
    <mergeCell ref="H97:H99"/>
    <mergeCell ref="P104:P105"/>
    <mergeCell ref="Q104:Q105"/>
    <mergeCell ref="I104:I105"/>
    <mergeCell ref="J104:J105"/>
    <mergeCell ref="K104:K105"/>
    <mergeCell ref="L104:L105"/>
    <mergeCell ref="M104:M105"/>
    <mergeCell ref="N104:N105"/>
    <mergeCell ref="O104:O105"/>
    <mergeCell ref="P100:P101"/>
    <mergeCell ref="Q100:Q101"/>
    <mergeCell ref="R100:R101"/>
    <mergeCell ref="I100:I101"/>
    <mergeCell ref="J100:J101"/>
    <mergeCell ref="K100:K101"/>
    <mergeCell ref="L100:L101"/>
    <mergeCell ref="M100:M101"/>
    <mergeCell ref="N100:N101"/>
    <mergeCell ref="O100:O101"/>
    <mergeCell ref="A100:A101"/>
    <mergeCell ref="B100:B101"/>
    <mergeCell ref="C100:C101"/>
    <mergeCell ref="D100:D101"/>
    <mergeCell ref="F100:F101"/>
    <mergeCell ref="G100:G101"/>
    <mergeCell ref="H100:H101"/>
    <mergeCell ref="P102:P103"/>
    <mergeCell ref="Q102:Q103"/>
    <mergeCell ref="R102:R103"/>
    <mergeCell ref="R104:R105"/>
    <mergeCell ref="I102:I103"/>
    <mergeCell ref="J102:J103"/>
    <mergeCell ref="K102:K103"/>
    <mergeCell ref="L102:L103"/>
    <mergeCell ref="M102:M103"/>
    <mergeCell ref="N102:N103"/>
    <mergeCell ref="O102:O103"/>
    <mergeCell ref="A102:A103"/>
    <mergeCell ref="B102:B103"/>
    <mergeCell ref="C102:C103"/>
    <mergeCell ref="D102:D103"/>
    <mergeCell ref="F102:F103"/>
    <mergeCell ref="G102:G103"/>
    <mergeCell ref="H102:H103"/>
    <mergeCell ref="A104:A105"/>
    <mergeCell ref="B104:B105"/>
    <mergeCell ref="C104:C105"/>
    <mergeCell ref="D104:D105"/>
    <mergeCell ref="F104:F105"/>
    <mergeCell ref="G104:G105"/>
    <mergeCell ref="H104:H105"/>
    <mergeCell ref="P111:P113"/>
    <mergeCell ref="Q111:Q113"/>
    <mergeCell ref="I111:I113"/>
    <mergeCell ref="J111:J113"/>
    <mergeCell ref="K111:K113"/>
    <mergeCell ref="L111:L113"/>
    <mergeCell ref="M111:M113"/>
    <mergeCell ref="N111:N113"/>
    <mergeCell ref="O111:O113"/>
    <mergeCell ref="P106:P107"/>
    <mergeCell ref="Q106:Q107"/>
    <mergeCell ref="R106:R107"/>
    <mergeCell ref="I106:I107"/>
    <mergeCell ref="J106:J107"/>
    <mergeCell ref="K106:K107"/>
    <mergeCell ref="L106:L107"/>
    <mergeCell ref="M106:M107"/>
    <mergeCell ref="N106:N107"/>
    <mergeCell ref="O106:O107"/>
    <mergeCell ref="A106:A107"/>
    <mergeCell ref="B106:B107"/>
    <mergeCell ref="C106:C107"/>
    <mergeCell ref="D106:D107"/>
    <mergeCell ref="F106:F107"/>
    <mergeCell ref="G106:G107"/>
    <mergeCell ref="H106:H107"/>
    <mergeCell ref="P108:P110"/>
    <mergeCell ref="Q108:Q110"/>
    <mergeCell ref="R108:R110"/>
    <mergeCell ref="R111:R113"/>
    <mergeCell ref="I108:I110"/>
    <mergeCell ref="J108:J110"/>
    <mergeCell ref="K108:K110"/>
    <mergeCell ref="L108:L110"/>
    <mergeCell ref="M108:M110"/>
    <mergeCell ref="N108:N110"/>
    <mergeCell ref="O108:O110"/>
    <mergeCell ref="A108:A110"/>
    <mergeCell ref="B108:B110"/>
    <mergeCell ref="C108:C110"/>
    <mergeCell ref="D108:D110"/>
    <mergeCell ref="F108:F110"/>
    <mergeCell ref="G108:G110"/>
    <mergeCell ref="H108:H110"/>
    <mergeCell ref="A111:A113"/>
    <mergeCell ref="B111:B113"/>
    <mergeCell ref="C111:C113"/>
    <mergeCell ref="D111:D113"/>
    <mergeCell ref="F111:F113"/>
    <mergeCell ref="G111:G113"/>
    <mergeCell ref="H111:H113"/>
    <mergeCell ref="P121:P122"/>
    <mergeCell ref="Q121:Q122"/>
    <mergeCell ref="I121:I122"/>
    <mergeCell ref="J121:J122"/>
    <mergeCell ref="K121:K122"/>
    <mergeCell ref="L121:L122"/>
    <mergeCell ref="M121:M122"/>
    <mergeCell ref="N121:N122"/>
    <mergeCell ref="O121:O122"/>
    <mergeCell ref="P115:P118"/>
    <mergeCell ref="Q115:Q118"/>
    <mergeCell ref="R115:R118"/>
    <mergeCell ref="I115:I118"/>
    <mergeCell ref="J115:J118"/>
    <mergeCell ref="K115:K118"/>
    <mergeCell ref="L115:L118"/>
    <mergeCell ref="M115:M118"/>
    <mergeCell ref="N115:N118"/>
    <mergeCell ref="O115:O118"/>
    <mergeCell ref="A115:A118"/>
    <mergeCell ref="B115:B118"/>
    <mergeCell ref="C115:C118"/>
    <mergeCell ref="D115:D118"/>
    <mergeCell ref="F115:F118"/>
    <mergeCell ref="G115:G118"/>
    <mergeCell ref="H115:H118"/>
    <mergeCell ref="P119:P120"/>
    <mergeCell ref="Q119:Q120"/>
    <mergeCell ref="R119:R120"/>
    <mergeCell ref="R121:R122"/>
    <mergeCell ref="I119:I120"/>
    <mergeCell ref="J119:J120"/>
    <mergeCell ref="K119:K120"/>
    <mergeCell ref="L119:L120"/>
    <mergeCell ref="M119:M120"/>
    <mergeCell ref="N119:N120"/>
    <mergeCell ref="O119:O120"/>
    <mergeCell ref="A119:A120"/>
    <mergeCell ref="B119:B120"/>
    <mergeCell ref="C119:C120"/>
    <mergeCell ref="D119:D120"/>
    <mergeCell ref="F119:F120"/>
    <mergeCell ref="G119:G120"/>
    <mergeCell ref="H119:H120"/>
    <mergeCell ref="A121:A122"/>
    <mergeCell ref="B121:B122"/>
    <mergeCell ref="C121:C122"/>
    <mergeCell ref="D121:D122"/>
    <mergeCell ref="F121:F122"/>
    <mergeCell ref="G121:G122"/>
    <mergeCell ref="H121:H122"/>
    <mergeCell ref="P57:P65"/>
    <mergeCell ref="Q57:Q65"/>
    <mergeCell ref="I57:I65"/>
    <mergeCell ref="J57:J65"/>
    <mergeCell ref="K57:K65"/>
    <mergeCell ref="L57:L65"/>
    <mergeCell ref="M57:M65"/>
    <mergeCell ref="N57:N65"/>
    <mergeCell ref="O57:O65"/>
    <mergeCell ref="P48:P52"/>
    <mergeCell ref="Q48:Q52"/>
    <mergeCell ref="R48:R52"/>
    <mergeCell ref="I48:I52"/>
    <mergeCell ref="J48:J52"/>
    <mergeCell ref="K48:K52"/>
    <mergeCell ref="L48:L52"/>
    <mergeCell ref="M48:M52"/>
    <mergeCell ref="N48:N52"/>
    <mergeCell ref="O48:O52"/>
    <mergeCell ref="A48:A52"/>
    <mergeCell ref="B48:B52"/>
    <mergeCell ref="C48:C52"/>
    <mergeCell ref="D48:D52"/>
    <mergeCell ref="F48:F52"/>
    <mergeCell ref="G48:G52"/>
    <mergeCell ref="H48:H52"/>
    <mergeCell ref="P53:P55"/>
    <mergeCell ref="Q53:Q55"/>
    <mergeCell ref="R53:R55"/>
    <mergeCell ref="R57:R65"/>
    <mergeCell ref="I53:I55"/>
    <mergeCell ref="J53:J55"/>
    <mergeCell ref="K53:K55"/>
    <mergeCell ref="L53:L55"/>
    <mergeCell ref="M53:M55"/>
    <mergeCell ref="N53:N55"/>
    <mergeCell ref="O53:O55"/>
    <mergeCell ref="A53:A55"/>
    <mergeCell ref="B53:B55"/>
    <mergeCell ref="C53:C55"/>
    <mergeCell ref="D53:D55"/>
    <mergeCell ref="F53:F55"/>
    <mergeCell ref="G53:G55"/>
    <mergeCell ref="H53:H55"/>
    <mergeCell ref="A57:A65"/>
    <mergeCell ref="B57:B65"/>
    <mergeCell ref="C57:C65"/>
    <mergeCell ref="D57:D65"/>
    <mergeCell ref="F57:F65"/>
    <mergeCell ref="G57:G65"/>
    <mergeCell ref="H57:H65"/>
    <mergeCell ref="P128:P130"/>
    <mergeCell ref="Q128:Q130"/>
    <mergeCell ref="I128:I130"/>
    <mergeCell ref="J128:J130"/>
    <mergeCell ref="K128:K130"/>
    <mergeCell ref="L128:L130"/>
    <mergeCell ref="M128:M130"/>
    <mergeCell ref="N128:N130"/>
    <mergeCell ref="O128:O130"/>
    <mergeCell ref="P123:P124"/>
    <mergeCell ref="Q123:Q124"/>
    <mergeCell ref="R123:R124"/>
    <mergeCell ref="I123:I124"/>
    <mergeCell ref="J123:J124"/>
    <mergeCell ref="K123:K124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F123:F124"/>
    <mergeCell ref="G123:G124"/>
    <mergeCell ref="H123:H124"/>
    <mergeCell ref="P125:P127"/>
    <mergeCell ref="Q125:Q127"/>
    <mergeCell ref="R125:R127"/>
    <mergeCell ref="R128:R130"/>
    <mergeCell ref="I125:I127"/>
    <mergeCell ref="J125:J127"/>
    <mergeCell ref="K125:K127"/>
    <mergeCell ref="L125:L127"/>
    <mergeCell ref="M125:M127"/>
    <mergeCell ref="N125:N127"/>
    <mergeCell ref="O125:O127"/>
    <mergeCell ref="A125:A127"/>
    <mergeCell ref="B125:B127"/>
    <mergeCell ref="C125:C127"/>
    <mergeCell ref="D125:D127"/>
    <mergeCell ref="F125:F127"/>
    <mergeCell ref="G125:G127"/>
    <mergeCell ref="H125:H127"/>
    <mergeCell ref="A128:A130"/>
    <mergeCell ref="B128:B130"/>
    <mergeCell ref="C128:C130"/>
    <mergeCell ref="D128:D130"/>
    <mergeCell ref="F128:F130"/>
    <mergeCell ref="G128:G130"/>
    <mergeCell ref="H128:H130"/>
    <mergeCell ref="P139:P140"/>
    <mergeCell ref="Q139:Q140"/>
    <mergeCell ref="I139:I140"/>
    <mergeCell ref="J139:J140"/>
    <mergeCell ref="K139:K140"/>
    <mergeCell ref="L139:L140"/>
    <mergeCell ref="M139:M140"/>
    <mergeCell ref="N139:N140"/>
    <mergeCell ref="O139:O140"/>
    <mergeCell ref="P132:P134"/>
    <mergeCell ref="Q132:Q134"/>
    <mergeCell ref="R132:R134"/>
    <mergeCell ref="I132:I134"/>
    <mergeCell ref="J132:J134"/>
    <mergeCell ref="K132:K134"/>
    <mergeCell ref="L132:L134"/>
    <mergeCell ref="M132:M134"/>
    <mergeCell ref="N132:N134"/>
    <mergeCell ref="O132:O134"/>
    <mergeCell ref="A132:A134"/>
    <mergeCell ref="B132:B134"/>
    <mergeCell ref="C132:C134"/>
    <mergeCell ref="D132:D134"/>
    <mergeCell ref="F132:F134"/>
    <mergeCell ref="G132:G134"/>
    <mergeCell ref="H132:H134"/>
    <mergeCell ref="P135:P136"/>
    <mergeCell ref="Q135:Q136"/>
    <mergeCell ref="R135:R136"/>
    <mergeCell ref="R139:R140"/>
    <mergeCell ref="I135:I136"/>
    <mergeCell ref="J135:J136"/>
    <mergeCell ref="K135:K136"/>
    <mergeCell ref="L135:L136"/>
    <mergeCell ref="M135:M136"/>
    <mergeCell ref="N135:N136"/>
    <mergeCell ref="O135:O136"/>
    <mergeCell ref="A135:A136"/>
    <mergeCell ref="B135:B136"/>
    <mergeCell ref="C135:C136"/>
    <mergeCell ref="D135:D136"/>
    <mergeCell ref="F135:F136"/>
    <mergeCell ref="G135:G136"/>
    <mergeCell ref="H135:H136"/>
    <mergeCell ref="A139:A140"/>
    <mergeCell ref="B139:B140"/>
    <mergeCell ref="C139:C140"/>
    <mergeCell ref="D139:D140"/>
    <mergeCell ref="F139:F140"/>
    <mergeCell ref="G139:G140"/>
    <mergeCell ref="H139:H140"/>
    <mergeCell ref="A150:A151"/>
    <mergeCell ref="B150:B151"/>
    <mergeCell ref="C150:C151"/>
    <mergeCell ref="D150:D151"/>
    <mergeCell ref="F150:F151"/>
    <mergeCell ref="G150:G151"/>
    <mergeCell ref="H150:H151"/>
    <mergeCell ref="A143:A146"/>
    <mergeCell ref="B143:B146"/>
    <mergeCell ref="C143:C146"/>
    <mergeCell ref="D143:D146"/>
    <mergeCell ref="F143:F146"/>
    <mergeCell ref="P141:P142"/>
    <mergeCell ref="P150:P151"/>
    <mergeCell ref="Q141:Q142"/>
    <mergeCell ref="R141:R142"/>
    <mergeCell ref="I141:I142"/>
    <mergeCell ref="J141:J142"/>
    <mergeCell ref="K141:K142"/>
    <mergeCell ref="L141:L142"/>
    <mergeCell ref="M141:M142"/>
    <mergeCell ref="N141:N142"/>
    <mergeCell ref="O141:O142"/>
    <mergeCell ref="A141:A142"/>
    <mergeCell ref="B141:B142"/>
    <mergeCell ref="C141:C142"/>
    <mergeCell ref="D141:D142"/>
    <mergeCell ref="F141:F142"/>
    <mergeCell ref="G141:G142"/>
    <mergeCell ref="H141:H142"/>
    <mergeCell ref="P143:P146"/>
    <mergeCell ref="Q143:Q146"/>
    <mergeCell ref="Q150:Q151"/>
    <mergeCell ref="I150:I151"/>
    <mergeCell ref="J150:J151"/>
    <mergeCell ref="K150:K151"/>
    <mergeCell ref="L150:L151"/>
    <mergeCell ref="M150:M151"/>
    <mergeCell ref="N150:N151"/>
    <mergeCell ref="O150:O151"/>
    <mergeCell ref="P153:P157"/>
    <mergeCell ref="Q153:Q157"/>
    <mergeCell ref="R150:R151"/>
    <mergeCell ref="K143:K146"/>
    <mergeCell ref="L143:L146"/>
    <mergeCell ref="M143:M146"/>
    <mergeCell ref="N143:N146"/>
    <mergeCell ref="O143:O146"/>
    <mergeCell ref="R153:R157"/>
    <mergeCell ref="I153:I157"/>
    <mergeCell ref="J153:J157"/>
    <mergeCell ref="K153:K157"/>
    <mergeCell ref="L153:L157"/>
    <mergeCell ref="M153:M157"/>
    <mergeCell ref="N153:N157"/>
    <mergeCell ref="O153:O157"/>
    <mergeCell ref="R143:R146"/>
    <mergeCell ref="A153:A157"/>
    <mergeCell ref="B153:B157"/>
    <mergeCell ref="C153:C157"/>
    <mergeCell ref="D153:D157"/>
    <mergeCell ref="F153:F157"/>
    <mergeCell ref="G153:G157"/>
    <mergeCell ref="H153:H157"/>
    <mergeCell ref="P159:P162"/>
    <mergeCell ref="Q159:Q162"/>
    <mergeCell ref="R159:R162"/>
    <mergeCell ref="I159:I162"/>
    <mergeCell ref="J159:J162"/>
    <mergeCell ref="K159:K162"/>
    <mergeCell ref="L159:L162"/>
    <mergeCell ref="M159:M162"/>
    <mergeCell ref="N159:N162"/>
    <mergeCell ref="O159:O162"/>
    <mergeCell ref="A159:A162"/>
    <mergeCell ref="B159:B162"/>
    <mergeCell ref="C159:C162"/>
    <mergeCell ref="D159:D162"/>
    <mergeCell ref="F159:F162"/>
    <mergeCell ref="G159:G162"/>
    <mergeCell ref="H159:H162"/>
    <mergeCell ref="R165:R166"/>
    <mergeCell ref="A165:A166"/>
    <mergeCell ref="B165:B166"/>
    <mergeCell ref="C165:C166"/>
    <mergeCell ref="D165:D166"/>
    <mergeCell ref="F165:F166"/>
    <mergeCell ref="G165:G166"/>
    <mergeCell ref="H165:H166"/>
    <mergeCell ref="I170:I174"/>
    <mergeCell ref="J170:J174"/>
    <mergeCell ref="K170:K174"/>
    <mergeCell ref="L170:L174"/>
    <mergeCell ref="M170:M174"/>
    <mergeCell ref="N170:N174"/>
    <mergeCell ref="O170:O174"/>
    <mergeCell ref="A170:A174"/>
    <mergeCell ref="B170:B174"/>
    <mergeCell ref="C170:C174"/>
    <mergeCell ref="D170:D174"/>
    <mergeCell ref="F170:F174"/>
    <mergeCell ref="G170:G174"/>
    <mergeCell ref="H170:H174"/>
    <mergeCell ref="P165:P166"/>
    <mergeCell ref="Q165:Q166"/>
    <mergeCell ref="I165:I166"/>
    <mergeCell ref="J165:J166"/>
    <mergeCell ref="K165:K166"/>
    <mergeCell ref="L165:L166"/>
    <mergeCell ref="M165:M166"/>
    <mergeCell ref="N165:N166"/>
    <mergeCell ref="O165:O166"/>
    <mergeCell ref="P167:P168"/>
    <mergeCell ref="C222:C223"/>
    <mergeCell ref="D222:D223"/>
    <mergeCell ref="F222:F223"/>
    <mergeCell ref="Q167:Q168"/>
    <mergeCell ref="R167:R168"/>
    <mergeCell ref="I167:I168"/>
    <mergeCell ref="J167:J168"/>
    <mergeCell ref="K167:K168"/>
    <mergeCell ref="L167:L168"/>
    <mergeCell ref="M167:M168"/>
    <mergeCell ref="N167:N168"/>
    <mergeCell ref="O167:O168"/>
    <mergeCell ref="A167:A168"/>
    <mergeCell ref="B167:B168"/>
    <mergeCell ref="C167:C168"/>
    <mergeCell ref="D167:D168"/>
    <mergeCell ref="F167:F168"/>
    <mergeCell ref="G167:G168"/>
    <mergeCell ref="H167:H168"/>
    <mergeCell ref="P170:P174"/>
    <mergeCell ref="Q170:Q174"/>
    <mergeCell ref="R170:R174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R226:R227"/>
    <mergeCell ref="P222:P223"/>
    <mergeCell ref="Q222:Q223"/>
    <mergeCell ref="R222:R223"/>
    <mergeCell ref="I222:I223"/>
    <mergeCell ref="J222:J223"/>
    <mergeCell ref="K222:K223"/>
    <mergeCell ref="L222:L223"/>
    <mergeCell ref="M222:M223"/>
    <mergeCell ref="N222:N223"/>
    <mergeCell ref="O222:O223"/>
    <mergeCell ref="P34:P36"/>
    <mergeCell ref="Q34:Q36"/>
    <mergeCell ref="I34:I36"/>
    <mergeCell ref="G222:G223"/>
    <mergeCell ref="H222:H223"/>
    <mergeCell ref="P224:P225"/>
    <mergeCell ref="Q224:Q225"/>
    <mergeCell ref="R224:R225"/>
    <mergeCell ref="I224:I225"/>
    <mergeCell ref="J224:J225"/>
    <mergeCell ref="K224:K225"/>
    <mergeCell ref="L224:L225"/>
    <mergeCell ref="M224:M225"/>
    <mergeCell ref="N224:N225"/>
    <mergeCell ref="O224:O225"/>
    <mergeCell ref="A224:A225"/>
    <mergeCell ref="B224:B225"/>
    <mergeCell ref="C224:C225"/>
    <mergeCell ref="D224:D225"/>
    <mergeCell ref="F224:F225"/>
    <mergeCell ref="G224:G225"/>
    <mergeCell ref="H224:H225"/>
    <mergeCell ref="R175:R178"/>
    <mergeCell ref="A175:A178"/>
    <mergeCell ref="B175:B178"/>
    <mergeCell ref="C175:C178"/>
    <mergeCell ref="D175:D178"/>
    <mergeCell ref="F175:F178"/>
    <mergeCell ref="G175:G178"/>
    <mergeCell ref="H175:H178"/>
    <mergeCell ref="A222:A223"/>
    <mergeCell ref="B222:B223"/>
    <mergeCell ref="I3:I5"/>
    <mergeCell ref="J3:J5"/>
    <mergeCell ref="A3:A5"/>
    <mergeCell ref="B3:B5"/>
    <mergeCell ref="C3:C5"/>
    <mergeCell ref="D3:D5"/>
    <mergeCell ref="F3:F5"/>
    <mergeCell ref="G3:G5"/>
    <mergeCell ref="H3:H5"/>
    <mergeCell ref="P8:P9"/>
    <mergeCell ref="Q8:Q9"/>
    <mergeCell ref="R8:R9"/>
    <mergeCell ref="B226:B227"/>
    <mergeCell ref="C226:C227"/>
    <mergeCell ref="D226:D227"/>
    <mergeCell ref="F226:F227"/>
    <mergeCell ref="G226:G227"/>
    <mergeCell ref="H226:H227"/>
    <mergeCell ref="I226:I227"/>
    <mergeCell ref="P12:P13"/>
    <mergeCell ref="Q12:Q13"/>
    <mergeCell ref="I12:I13"/>
    <mergeCell ref="J12:J13"/>
    <mergeCell ref="K12:K13"/>
    <mergeCell ref="L12:L13"/>
    <mergeCell ref="M12:M13"/>
    <mergeCell ref="N12:N13"/>
    <mergeCell ref="O12:O13"/>
    <mergeCell ref="P21:P26"/>
    <mergeCell ref="Q21:Q26"/>
    <mergeCell ref="I21:I26"/>
    <mergeCell ref="J21:J26"/>
    <mergeCell ref="R12:R13"/>
    <mergeCell ref="I8:I9"/>
    <mergeCell ref="J8:J9"/>
    <mergeCell ref="K8:K9"/>
    <mergeCell ref="L8:L9"/>
    <mergeCell ref="M8:M9"/>
    <mergeCell ref="N8:N9"/>
    <mergeCell ref="O8:O9"/>
    <mergeCell ref="A8:A9"/>
    <mergeCell ref="B8:B9"/>
    <mergeCell ref="C8:C9"/>
    <mergeCell ref="D8:D9"/>
    <mergeCell ref="F8:F9"/>
    <mergeCell ref="G8:G9"/>
    <mergeCell ref="H8:H9"/>
    <mergeCell ref="A12:A13"/>
    <mergeCell ref="B12:B13"/>
    <mergeCell ref="C12:C13"/>
    <mergeCell ref="D12:D13"/>
    <mergeCell ref="F12:F13"/>
    <mergeCell ref="G12:G13"/>
    <mergeCell ref="H12:H13"/>
    <mergeCell ref="R14:R15"/>
    <mergeCell ref="I14:I15"/>
    <mergeCell ref="J14:J15"/>
    <mergeCell ref="K14:K15"/>
    <mergeCell ref="L14:L15"/>
    <mergeCell ref="M14:M15"/>
    <mergeCell ref="N14:N15"/>
    <mergeCell ref="O14:O15"/>
    <mergeCell ref="A14:A15"/>
    <mergeCell ref="B14:B15"/>
    <mergeCell ref="C14:C15"/>
    <mergeCell ref="D14:D15"/>
    <mergeCell ref="F14:F15"/>
    <mergeCell ref="G14:G15"/>
    <mergeCell ref="H14:H15"/>
    <mergeCell ref="P18:P19"/>
    <mergeCell ref="Q18:Q19"/>
    <mergeCell ref="R18:R19"/>
    <mergeCell ref="P14:P15"/>
    <mergeCell ref="Q14:Q15"/>
    <mergeCell ref="R21:R26"/>
    <mergeCell ref="I18:I19"/>
    <mergeCell ref="J18:J19"/>
    <mergeCell ref="K18:K19"/>
    <mergeCell ref="L18:L19"/>
    <mergeCell ref="M18:M19"/>
    <mergeCell ref="N18:N19"/>
    <mergeCell ref="O18:O19"/>
    <mergeCell ref="A18:A19"/>
    <mergeCell ref="B18:B19"/>
    <mergeCell ref="C18:C19"/>
    <mergeCell ref="D18:D19"/>
    <mergeCell ref="F18:F19"/>
    <mergeCell ref="G18:G19"/>
    <mergeCell ref="H18:H19"/>
    <mergeCell ref="A21:A26"/>
    <mergeCell ref="B21:B26"/>
    <mergeCell ref="C21:C26"/>
    <mergeCell ref="D21:D26"/>
    <mergeCell ref="F21:F26"/>
    <mergeCell ref="G21:G26"/>
    <mergeCell ref="H21:H26"/>
    <mergeCell ref="K21:K26"/>
    <mergeCell ref="L21:L26"/>
    <mergeCell ref="M21:M26"/>
    <mergeCell ref="N21:N26"/>
    <mergeCell ref="O21:O26"/>
    <mergeCell ref="J34:J36"/>
    <mergeCell ref="K34:K36"/>
    <mergeCell ref="L34:L36"/>
    <mergeCell ref="M34:M36"/>
    <mergeCell ref="N34:N36"/>
    <mergeCell ref="O34:O36"/>
    <mergeCell ref="P27:P30"/>
    <mergeCell ref="Q27:Q30"/>
    <mergeCell ref="R27:R30"/>
    <mergeCell ref="I27:I30"/>
    <mergeCell ref="J27:J30"/>
    <mergeCell ref="K27:K30"/>
    <mergeCell ref="L27:L30"/>
    <mergeCell ref="M27:M30"/>
    <mergeCell ref="N27:N30"/>
    <mergeCell ref="O27:O30"/>
    <mergeCell ref="A27:A30"/>
    <mergeCell ref="B27:B30"/>
    <mergeCell ref="C27:C30"/>
    <mergeCell ref="D27:D30"/>
    <mergeCell ref="F27:F30"/>
    <mergeCell ref="G27:G30"/>
    <mergeCell ref="H27:H30"/>
    <mergeCell ref="P31:P33"/>
    <mergeCell ref="Q31:Q33"/>
    <mergeCell ref="R31:R33"/>
    <mergeCell ref="R34:R36"/>
    <mergeCell ref="I31:I33"/>
    <mergeCell ref="J31:J33"/>
    <mergeCell ref="K31:K33"/>
    <mergeCell ref="L31:L33"/>
    <mergeCell ref="M31:M33"/>
    <mergeCell ref="Q232:Q233"/>
    <mergeCell ref="R232:R233"/>
    <mergeCell ref="R228:R229"/>
    <mergeCell ref="R230:R231"/>
    <mergeCell ref="J228:J229"/>
    <mergeCell ref="K228:K229"/>
    <mergeCell ref="L228:L229"/>
    <mergeCell ref="M228:M229"/>
    <mergeCell ref="N228:N229"/>
    <mergeCell ref="O228:O229"/>
    <mergeCell ref="P228:P229"/>
    <mergeCell ref="N31:N33"/>
    <mergeCell ref="O31:O33"/>
    <mergeCell ref="A31:A33"/>
    <mergeCell ref="B31:B33"/>
    <mergeCell ref="C31:C33"/>
    <mergeCell ref="D31:D33"/>
    <mergeCell ref="F31:F33"/>
    <mergeCell ref="G31:G33"/>
    <mergeCell ref="H31:H33"/>
    <mergeCell ref="A34:A36"/>
    <mergeCell ref="B34:B36"/>
    <mergeCell ref="C34:C36"/>
    <mergeCell ref="D34:D36"/>
    <mergeCell ref="F34:F36"/>
    <mergeCell ref="G34:G36"/>
    <mergeCell ref="H34:H36"/>
    <mergeCell ref="I182:I184"/>
    <mergeCell ref="J182:J184"/>
    <mergeCell ref="K182:K184"/>
    <mergeCell ref="L182:L184"/>
    <mergeCell ref="M182:M184"/>
    <mergeCell ref="I228:I229"/>
    <mergeCell ref="J230:J231"/>
    <mergeCell ref="K230:K231"/>
    <mergeCell ref="L230:L231"/>
    <mergeCell ref="M230:M231"/>
    <mergeCell ref="N230:N231"/>
    <mergeCell ref="O230:O231"/>
    <mergeCell ref="P230:P231"/>
    <mergeCell ref="B230:B231"/>
    <mergeCell ref="C230:C231"/>
    <mergeCell ref="D230:D231"/>
    <mergeCell ref="F230:F231"/>
    <mergeCell ref="G230:G231"/>
    <mergeCell ref="H230:H231"/>
    <mergeCell ref="I230:I231"/>
    <mergeCell ref="J232:J233"/>
    <mergeCell ref="K232:K233"/>
    <mergeCell ref="L232:L233"/>
    <mergeCell ref="M232:M233"/>
    <mergeCell ref="N232:N233"/>
    <mergeCell ref="O232:O233"/>
    <mergeCell ref="P232:P233"/>
    <mergeCell ref="B238:B239"/>
    <mergeCell ref="B232:B233"/>
    <mergeCell ref="C232:C233"/>
    <mergeCell ref="D232:D233"/>
    <mergeCell ref="F232:F233"/>
    <mergeCell ref="G232:G233"/>
    <mergeCell ref="H232:H233"/>
    <mergeCell ref="I232:I233"/>
    <mergeCell ref="Q228:Q229"/>
    <mergeCell ref="Q230:Q231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C238:C239"/>
    <mergeCell ref="D238:D239"/>
    <mergeCell ref="F238:F239"/>
    <mergeCell ref="G238:G239"/>
    <mergeCell ref="H238:H239"/>
    <mergeCell ref="I238:I239"/>
    <mergeCell ref="Q234:Q235"/>
    <mergeCell ref="Q236:Q237"/>
    <mergeCell ref="B228:B229"/>
    <mergeCell ref="C228:C229"/>
    <mergeCell ref="D228:D229"/>
    <mergeCell ref="F228:F229"/>
    <mergeCell ref="G228:G229"/>
    <mergeCell ref="H228:H229"/>
    <mergeCell ref="B234:B235"/>
    <mergeCell ref="C234:C235"/>
    <mergeCell ref="D234:D235"/>
    <mergeCell ref="F234:F235"/>
    <mergeCell ref="G234:G235"/>
    <mergeCell ref="H234:H235"/>
    <mergeCell ref="I234:I235"/>
    <mergeCell ref="J236:J237"/>
    <mergeCell ref="K236:K237"/>
    <mergeCell ref="L236:L237"/>
    <mergeCell ref="M236:M237"/>
    <mergeCell ref="N236:N237"/>
    <mergeCell ref="O236:O237"/>
    <mergeCell ref="P236:P237"/>
    <mergeCell ref="B236:B237"/>
    <mergeCell ref="C236:C237"/>
    <mergeCell ref="D236:D237"/>
    <mergeCell ref="F236:F237"/>
    <mergeCell ref="G236:G237"/>
    <mergeCell ref="H236:H237"/>
    <mergeCell ref="I236:I237"/>
    <mergeCell ref="R244:R245"/>
    <mergeCell ref="R240:R241"/>
    <mergeCell ref="R242:R243"/>
    <mergeCell ref="J240:J241"/>
    <mergeCell ref="K240:K241"/>
    <mergeCell ref="L240:L241"/>
    <mergeCell ref="M240:M241"/>
    <mergeCell ref="N240:N241"/>
    <mergeCell ref="O240:O241"/>
    <mergeCell ref="P240:P241"/>
    <mergeCell ref="R238:R239"/>
    <mergeCell ref="R234:R235"/>
    <mergeCell ref="R236:R237"/>
    <mergeCell ref="J234:J235"/>
    <mergeCell ref="K234:K235"/>
    <mergeCell ref="L234:L235"/>
    <mergeCell ref="M234:M235"/>
    <mergeCell ref="N234:N235"/>
    <mergeCell ref="O234:O235"/>
    <mergeCell ref="P234:P235"/>
    <mergeCell ref="Q240:Q241"/>
    <mergeCell ref="Q242:Q243"/>
    <mergeCell ref="J244:J245"/>
    <mergeCell ref="K244:K245"/>
    <mergeCell ref="L244:L245"/>
    <mergeCell ref="M244:M245"/>
    <mergeCell ref="N244:N245"/>
    <mergeCell ref="O244:O245"/>
    <mergeCell ref="P244:P245"/>
    <mergeCell ref="Q244:Q245"/>
    <mergeCell ref="B240:B241"/>
    <mergeCell ref="C240:C241"/>
    <mergeCell ref="D240:D241"/>
    <mergeCell ref="F240:F241"/>
    <mergeCell ref="G240:G241"/>
    <mergeCell ref="H240:H241"/>
    <mergeCell ref="I240:I241"/>
    <mergeCell ref="J242:J243"/>
    <mergeCell ref="K242:K243"/>
    <mergeCell ref="L242:L243"/>
    <mergeCell ref="M242:M243"/>
    <mergeCell ref="N242:N243"/>
    <mergeCell ref="O242:O243"/>
    <mergeCell ref="P242:P243"/>
    <mergeCell ref="B242:B243"/>
    <mergeCell ref="C242:C243"/>
    <mergeCell ref="D242:D243"/>
    <mergeCell ref="F242:F243"/>
    <mergeCell ref="G242:G243"/>
    <mergeCell ref="H242:H243"/>
    <mergeCell ref="I242:I243"/>
    <mergeCell ref="R252:R253"/>
    <mergeCell ref="R254:R258"/>
    <mergeCell ref="B248:B249"/>
    <mergeCell ref="C248:C249"/>
    <mergeCell ref="D248:D249"/>
    <mergeCell ref="F248:F249"/>
    <mergeCell ref="G248:G249"/>
    <mergeCell ref="H248:H249"/>
    <mergeCell ref="I248:I249"/>
    <mergeCell ref="B250:B251"/>
    <mergeCell ref="B244:B245"/>
    <mergeCell ref="C244:C245"/>
    <mergeCell ref="D244:D245"/>
    <mergeCell ref="F244:F245"/>
    <mergeCell ref="G244:G245"/>
    <mergeCell ref="H244:H245"/>
    <mergeCell ref="I244:I245"/>
    <mergeCell ref="M252:M253"/>
    <mergeCell ref="N252:N253"/>
    <mergeCell ref="J250:J251"/>
    <mergeCell ref="K250:K251"/>
    <mergeCell ref="L250:L251"/>
    <mergeCell ref="M250:M251"/>
    <mergeCell ref="N250:N251"/>
    <mergeCell ref="O250:O251"/>
    <mergeCell ref="P250:P251"/>
    <mergeCell ref="Q250:Q251"/>
    <mergeCell ref="C250:C251"/>
    <mergeCell ref="D250:D251"/>
    <mergeCell ref="F250:F251"/>
    <mergeCell ref="G250:G251"/>
    <mergeCell ref="H250:H251"/>
    <mergeCell ref="R250:R251"/>
    <mergeCell ref="R246:R247"/>
    <mergeCell ref="R248:R249"/>
    <mergeCell ref="J246:J247"/>
    <mergeCell ref="K246:K247"/>
    <mergeCell ref="L246:L247"/>
    <mergeCell ref="M246:M247"/>
    <mergeCell ref="N246:N247"/>
    <mergeCell ref="O246:O247"/>
    <mergeCell ref="P246:P247"/>
    <mergeCell ref="B246:B247"/>
    <mergeCell ref="C246:C247"/>
    <mergeCell ref="D246:D247"/>
    <mergeCell ref="F246:F247"/>
    <mergeCell ref="G246:G247"/>
    <mergeCell ref="H246:H247"/>
    <mergeCell ref="I246:I247"/>
    <mergeCell ref="J248:J249"/>
    <mergeCell ref="I250:I251"/>
    <mergeCell ref="Q246:Q247"/>
    <mergeCell ref="Q248:Q249"/>
    <mergeCell ref="E250:E251"/>
    <mergeCell ref="K248:K249"/>
    <mergeCell ref="L248:L249"/>
    <mergeCell ref="M248:M249"/>
    <mergeCell ref="N248:N249"/>
    <mergeCell ref="O248:O249"/>
    <mergeCell ref="P248:P249"/>
    <mergeCell ref="P260:P261"/>
    <mergeCell ref="Q260:Q261"/>
    <mergeCell ref="I260:I261"/>
    <mergeCell ref="J260:J261"/>
    <mergeCell ref="K260:K261"/>
    <mergeCell ref="L260:L261"/>
    <mergeCell ref="M260:M261"/>
    <mergeCell ref="N260:N261"/>
    <mergeCell ref="O260:O261"/>
    <mergeCell ref="O252:O253"/>
    <mergeCell ref="P252:P253"/>
    <mergeCell ref="B252:B253"/>
    <mergeCell ref="C252:C253"/>
    <mergeCell ref="D252:D253"/>
    <mergeCell ref="F252:F253"/>
    <mergeCell ref="G252:G253"/>
    <mergeCell ref="H252:H253"/>
    <mergeCell ref="I252:I253"/>
    <mergeCell ref="P254:P258"/>
    <mergeCell ref="Q254:Q258"/>
    <mergeCell ref="Q252:Q253"/>
    <mergeCell ref="E252:E253"/>
    <mergeCell ref="E254:E258"/>
    <mergeCell ref="E260:E261"/>
    <mergeCell ref="N268:N269"/>
    <mergeCell ref="O268:O269"/>
    <mergeCell ref="P262:P264"/>
    <mergeCell ref="Q262:Q264"/>
    <mergeCell ref="R262:R264"/>
    <mergeCell ref="I262:I264"/>
    <mergeCell ref="J262:J264"/>
    <mergeCell ref="K262:K264"/>
    <mergeCell ref="L262:L264"/>
    <mergeCell ref="M262:M264"/>
    <mergeCell ref="N262:N264"/>
    <mergeCell ref="O262:O264"/>
    <mergeCell ref="P265:P267"/>
    <mergeCell ref="Q265:Q267"/>
    <mergeCell ref="R265:R267"/>
    <mergeCell ref="R268:R269"/>
    <mergeCell ref="I265:I267"/>
    <mergeCell ref="J265:J267"/>
    <mergeCell ref="K265:K267"/>
    <mergeCell ref="L265:L267"/>
    <mergeCell ref="M265:M267"/>
    <mergeCell ref="N265:N267"/>
    <mergeCell ref="O265:O267"/>
    <mergeCell ref="R260:R261"/>
    <mergeCell ref="I254:I258"/>
    <mergeCell ref="J254:J258"/>
    <mergeCell ref="K254:K258"/>
    <mergeCell ref="L254:L258"/>
    <mergeCell ref="M254:M258"/>
    <mergeCell ref="N254:N258"/>
    <mergeCell ref="O254:O258"/>
    <mergeCell ref="J252:J253"/>
    <mergeCell ref="K252:K253"/>
    <mergeCell ref="L252:L253"/>
    <mergeCell ref="A262:A264"/>
    <mergeCell ref="B262:B264"/>
    <mergeCell ref="C262:C264"/>
    <mergeCell ref="D262:D264"/>
    <mergeCell ref="F262:F264"/>
    <mergeCell ref="G262:G264"/>
    <mergeCell ref="H262:H264"/>
    <mergeCell ref="A254:A258"/>
    <mergeCell ref="B254:B258"/>
    <mergeCell ref="C254:C258"/>
    <mergeCell ref="D254:D258"/>
    <mergeCell ref="F254:F258"/>
    <mergeCell ref="G254:G258"/>
    <mergeCell ref="H254:H258"/>
    <mergeCell ref="A260:A261"/>
    <mergeCell ref="B260:B261"/>
    <mergeCell ref="C260:C261"/>
    <mergeCell ref="D260:D261"/>
    <mergeCell ref="F260:F261"/>
    <mergeCell ref="G260:G261"/>
    <mergeCell ref="H260:H261"/>
    <mergeCell ref="A265:A267"/>
    <mergeCell ref="B265:B267"/>
    <mergeCell ref="C265:C267"/>
    <mergeCell ref="D265:D267"/>
    <mergeCell ref="F265:F267"/>
    <mergeCell ref="G265:G267"/>
    <mergeCell ref="H265:H267"/>
    <mergeCell ref="A268:A269"/>
    <mergeCell ref="B268:B269"/>
    <mergeCell ref="C268:C269"/>
    <mergeCell ref="D268:D269"/>
    <mergeCell ref="F268:F269"/>
    <mergeCell ref="G268:G269"/>
    <mergeCell ref="H268:H269"/>
    <mergeCell ref="P279:P280"/>
    <mergeCell ref="Q279:Q280"/>
    <mergeCell ref="I279:I280"/>
    <mergeCell ref="J279:J280"/>
    <mergeCell ref="K279:K280"/>
    <mergeCell ref="L279:L280"/>
    <mergeCell ref="M279:M280"/>
    <mergeCell ref="N279:N280"/>
    <mergeCell ref="O279:O280"/>
    <mergeCell ref="P271:P273"/>
    <mergeCell ref="Q271:Q273"/>
    <mergeCell ref="P268:P269"/>
    <mergeCell ref="Q268:Q269"/>
    <mergeCell ref="I268:I269"/>
    <mergeCell ref="J268:J269"/>
    <mergeCell ref="K268:K269"/>
    <mergeCell ref="L268:L269"/>
    <mergeCell ref="M268:M269"/>
    <mergeCell ref="R271:R273"/>
    <mergeCell ref="I271:I273"/>
    <mergeCell ref="J271:J273"/>
    <mergeCell ref="K271:K273"/>
    <mergeCell ref="L271:L273"/>
    <mergeCell ref="M271:M273"/>
    <mergeCell ref="N271:N273"/>
    <mergeCell ref="O271:O273"/>
    <mergeCell ref="A271:A273"/>
    <mergeCell ref="B271:B273"/>
    <mergeCell ref="C271:C273"/>
    <mergeCell ref="D271:D273"/>
    <mergeCell ref="F271:F273"/>
    <mergeCell ref="G271:G273"/>
    <mergeCell ref="H271:H273"/>
    <mergeCell ref="P275:P278"/>
    <mergeCell ref="Q275:Q278"/>
    <mergeCell ref="R275:R278"/>
    <mergeCell ref="R279:R280"/>
    <mergeCell ref="I275:I278"/>
    <mergeCell ref="J275:J278"/>
    <mergeCell ref="K275:K278"/>
    <mergeCell ref="L275:L278"/>
    <mergeCell ref="M275:M278"/>
    <mergeCell ref="N275:N278"/>
    <mergeCell ref="O275:O278"/>
    <mergeCell ref="A275:A278"/>
    <mergeCell ref="B275:B278"/>
    <mergeCell ref="C275:C278"/>
    <mergeCell ref="D275:D278"/>
    <mergeCell ref="F275:F278"/>
    <mergeCell ref="G275:G278"/>
    <mergeCell ref="H275:H278"/>
    <mergeCell ref="A279:A280"/>
    <mergeCell ref="B279:B280"/>
    <mergeCell ref="C279:C280"/>
    <mergeCell ref="D279:D280"/>
    <mergeCell ref="F279:F280"/>
    <mergeCell ref="G279:G280"/>
    <mergeCell ref="H279:H280"/>
    <mergeCell ref="P286:P287"/>
    <mergeCell ref="Q286:Q287"/>
    <mergeCell ref="I286:I287"/>
    <mergeCell ref="J286:J287"/>
    <mergeCell ref="K286:K287"/>
    <mergeCell ref="L286:L287"/>
    <mergeCell ref="M286:M287"/>
    <mergeCell ref="N286:N287"/>
    <mergeCell ref="O286:O287"/>
    <mergeCell ref="P281:P282"/>
    <mergeCell ref="Q281:Q282"/>
    <mergeCell ref="R281:R282"/>
    <mergeCell ref="I281:I282"/>
    <mergeCell ref="J281:J282"/>
    <mergeCell ref="K281:K282"/>
    <mergeCell ref="L281:L282"/>
    <mergeCell ref="M281:M282"/>
    <mergeCell ref="N281:N282"/>
    <mergeCell ref="O281:O282"/>
    <mergeCell ref="A281:A282"/>
    <mergeCell ref="B281:B282"/>
    <mergeCell ref="C281:C282"/>
    <mergeCell ref="D281:D282"/>
    <mergeCell ref="F281:F282"/>
    <mergeCell ref="G281:G282"/>
    <mergeCell ref="H281:H282"/>
    <mergeCell ref="P283:P284"/>
    <mergeCell ref="Q283:Q284"/>
    <mergeCell ref="R283:R284"/>
    <mergeCell ref="R286:R287"/>
    <mergeCell ref="I283:I284"/>
    <mergeCell ref="J283:J284"/>
    <mergeCell ref="K283:K284"/>
    <mergeCell ref="L283:L284"/>
    <mergeCell ref="M283:M284"/>
    <mergeCell ref="N283:N284"/>
    <mergeCell ref="O283:O284"/>
    <mergeCell ref="A283:A284"/>
    <mergeCell ref="B283:B284"/>
    <mergeCell ref="C283:C284"/>
    <mergeCell ref="D283:D284"/>
    <mergeCell ref="F283:F284"/>
    <mergeCell ref="G283:G284"/>
    <mergeCell ref="H283:H284"/>
    <mergeCell ref="A286:A287"/>
    <mergeCell ref="B286:B287"/>
    <mergeCell ref="C286:C287"/>
    <mergeCell ref="D286:D287"/>
    <mergeCell ref="F286:F287"/>
    <mergeCell ref="G286:G287"/>
    <mergeCell ref="H286:H287"/>
    <mergeCell ref="P297:P300"/>
    <mergeCell ref="Q297:Q300"/>
    <mergeCell ref="I297:I300"/>
    <mergeCell ref="J297:J300"/>
    <mergeCell ref="K297:K300"/>
    <mergeCell ref="L297:L300"/>
    <mergeCell ref="M297:M300"/>
    <mergeCell ref="N297:N300"/>
    <mergeCell ref="O297:O300"/>
    <mergeCell ref="P288:P289"/>
    <mergeCell ref="Q288:Q289"/>
    <mergeCell ref="R288:R289"/>
    <mergeCell ref="I288:I289"/>
    <mergeCell ref="J288:J289"/>
    <mergeCell ref="K288:K289"/>
    <mergeCell ref="L288:L289"/>
    <mergeCell ref="M288:M289"/>
    <mergeCell ref="N288:N289"/>
    <mergeCell ref="O288:O289"/>
    <mergeCell ref="A288:A289"/>
    <mergeCell ref="B288:B289"/>
    <mergeCell ref="C288:C289"/>
    <mergeCell ref="D288:D289"/>
    <mergeCell ref="F288:F289"/>
    <mergeCell ref="G288:G289"/>
    <mergeCell ref="H288:H289"/>
    <mergeCell ref="P292:P293"/>
    <mergeCell ref="Q292:Q293"/>
    <mergeCell ref="R292:R293"/>
    <mergeCell ref="R297:R300"/>
    <mergeCell ref="I292:I293"/>
    <mergeCell ref="J292:J293"/>
    <mergeCell ref="K292:K293"/>
    <mergeCell ref="L292:L293"/>
    <mergeCell ref="M292:M293"/>
    <mergeCell ref="N292:N293"/>
    <mergeCell ref="O292:O293"/>
    <mergeCell ref="A292:A293"/>
    <mergeCell ref="B292:B293"/>
    <mergeCell ref="C292:C293"/>
    <mergeCell ref="D292:D293"/>
    <mergeCell ref="F292:F293"/>
    <mergeCell ref="G292:G293"/>
    <mergeCell ref="H292:H293"/>
    <mergeCell ref="A297:A300"/>
    <mergeCell ref="B297:B300"/>
    <mergeCell ref="C297:C300"/>
    <mergeCell ref="D297:D300"/>
    <mergeCell ref="F297:F300"/>
    <mergeCell ref="G297:G300"/>
    <mergeCell ref="H297:H300"/>
    <mergeCell ref="P308:P310"/>
    <mergeCell ref="Q308:Q310"/>
    <mergeCell ref="I308:I310"/>
    <mergeCell ref="J308:J310"/>
    <mergeCell ref="K308:K310"/>
    <mergeCell ref="L308:L310"/>
    <mergeCell ref="M308:M310"/>
    <mergeCell ref="N308:N310"/>
    <mergeCell ref="O308:O310"/>
    <mergeCell ref="P302:P304"/>
    <mergeCell ref="Q302:Q304"/>
    <mergeCell ref="R302:R304"/>
    <mergeCell ref="I302:I304"/>
    <mergeCell ref="J302:J304"/>
    <mergeCell ref="K302:K304"/>
    <mergeCell ref="L302:L304"/>
    <mergeCell ref="M302:M304"/>
    <mergeCell ref="N302:N304"/>
    <mergeCell ref="O302:O304"/>
    <mergeCell ref="A302:A304"/>
    <mergeCell ref="B302:B304"/>
    <mergeCell ref="C302:C304"/>
    <mergeCell ref="D302:D304"/>
    <mergeCell ref="F302:F304"/>
    <mergeCell ref="G302:G304"/>
    <mergeCell ref="H302:H304"/>
    <mergeCell ref="P305:P307"/>
    <mergeCell ref="Q305:Q307"/>
    <mergeCell ref="R305:R307"/>
    <mergeCell ref="R308:R310"/>
    <mergeCell ref="I305:I307"/>
    <mergeCell ref="J305:J307"/>
    <mergeCell ref="K305:K307"/>
    <mergeCell ref="L305:L307"/>
    <mergeCell ref="M305:M307"/>
    <mergeCell ref="N305:N307"/>
    <mergeCell ref="O305:O307"/>
    <mergeCell ref="A305:A307"/>
    <mergeCell ref="B305:B307"/>
    <mergeCell ref="C305:C307"/>
    <mergeCell ref="D305:D307"/>
    <mergeCell ref="F305:F307"/>
    <mergeCell ref="G305:G307"/>
    <mergeCell ref="H305:H307"/>
    <mergeCell ref="A308:A310"/>
    <mergeCell ref="B308:B310"/>
    <mergeCell ref="C308:C310"/>
    <mergeCell ref="D308:D310"/>
    <mergeCell ref="F308:F310"/>
    <mergeCell ref="G308:G310"/>
    <mergeCell ref="H308:H310"/>
    <mergeCell ref="P316:P318"/>
    <mergeCell ref="Q316:Q318"/>
    <mergeCell ref="I316:I318"/>
    <mergeCell ref="J316:J318"/>
    <mergeCell ref="K316:K318"/>
    <mergeCell ref="L316:L318"/>
    <mergeCell ref="M316:M318"/>
    <mergeCell ref="N316:N318"/>
    <mergeCell ref="O316:O318"/>
    <mergeCell ref="P311:P312"/>
    <mergeCell ref="Q311:Q312"/>
    <mergeCell ref="R311:R312"/>
    <mergeCell ref="I311:I312"/>
    <mergeCell ref="J311:J312"/>
    <mergeCell ref="K311:K312"/>
    <mergeCell ref="L311:L312"/>
    <mergeCell ref="M311:M312"/>
    <mergeCell ref="N311:N312"/>
    <mergeCell ref="O311:O312"/>
    <mergeCell ref="A311:A312"/>
    <mergeCell ref="B311:B312"/>
    <mergeCell ref="C311:C312"/>
    <mergeCell ref="D311:D312"/>
    <mergeCell ref="F311:F312"/>
    <mergeCell ref="G311:G312"/>
    <mergeCell ref="H311:H312"/>
    <mergeCell ref="P313:P314"/>
    <mergeCell ref="Q313:Q314"/>
    <mergeCell ref="R313:R314"/>
    <mergeCell ref="R316:R318"/>
    <mergeCell ref="I313:I314"/>
    <mergeCell ref="J313:J314"/>
    <mergeCell ref="K313:K314"/>
    <mergeCell ref="L313:L314"/>
    <mergeCell ref="M313:M314"/>
    <mergeCell ref="N313:N314"/>
    <mergeCell ref="O313:O314"/>
    <mergeCell ref="A313:A314"/>
    <mergeCell ref="B313:B314"/>
    <mergeCell ref="C313:C314"/>
    <mergeCell ref="D313:D314"/>
    <mergeCell ref="F313:F314"/>
    <mergeCell ref="G313:G314"/>
    <mergeCell ref="H313:H314"/>
    <mergeCell ref="A316:A318"/>
    <mergeCell ref="B316:B318"/>
    <mergeCell ref="C316:C318"/>
    <mergeCell ref="D316:D318"/>
    <mergeCell ref="F316:F318"/>
    <mergeCell ref="G316:G318"/>
    <mergeCell ref="H316:H318"/>
    <mergeCell ref="P323:P328"/>
    <mergeCell ref="Q323:Q328"/>
    <mergeCell ref="I323:I328"/>
    <mergeCell ref="J323:J328"/>
    <mergeCell ref="K323:K328"/>
    <mergeCell ref="L323:L328"/>
    <mergeCell ref="M323:M328"/>
    <mergeCell ref="N323:N328"/>
    <mergeCell ref="O323:O328"/>
    <mergeCell ref="P319:P320"/>
    <mergeCell ref="Q319:Q320"/>
    <mergeCell ref="R319:R320"/>
    <mergeCell ref="I319:I320"/>
    <mergeCell ref="J319:J320"/>
    <mergeCell ref="K319:K320"/>
    <mergeCell ref="L319:L320"/>
    <mergeCell ref="M319:M320"/>
    <mergeCell ref="N319:N320"/>
    <mergeCell ref="O319:O320"/>
    <mergeCell ref="A319:A320"/>
    <mergeCell ref="B319:B320"/>
    <mergeCell ref="C319:C320"/>
    <mergeCell ref="D319:D320"/>
    <mergeCell ref="F319:F320"/>
    <mergeCell ref="G319:G320"/>
    <mergeCell ref="H319:H320"/>
    <mergeCell ref="P321:P322"/>
    <mergeCell ref="Q321:Q322"/>
    <mergeCell ref="R321:R322"/>
    <mergeCell ref="R323:R328"/>
    <mergeCell ref="I321:I322"/>
    <mergeCell ref="J321:J322"/>
    <mergeCell ref="K321:K322"/>
    <mergeCell ref="L321:L322"/>
    <mergeCell ref="M321:M322"/>
    <mergeCell ref="N321:N322"/>
    <mergeCell ref="O321:O322"/>
    <mergeCell ref="A321:A322"/>
    <mergeCell ref="B321:B322"/>
    <mergeCell ref="C321:C322"/>
    <mergeCell ref="D321:D322"/>
    <mergeCell ref="F321:F322"/>
    <mergeCell ref="G321:G322"/>
    <mergeCell ref="H321:H322"/>
    <mergeCell ref="A323:A328"/>
    <mergeCell ref="B323:B328"/>
    <mergeCell ref="C323:C328"/>
    <mergeCell ref="D323:D328"/>
    <mergeCell ref="F323:F328"/>
    <mergeCell ref="G323:G328"/>
    <mergeCell ref="H323:H328"/>
    <mergeCell ref="P186:P191"/>
    <mergeCell ref="Q186:Q191"/>
    <mergeCell ref="I186:I191"/>
    <mergeCell ref="J186:J191"/>
    <mergeCell ref="K186:K191"/>
    <mergeCell ref="L186:L191"/>
    <mergeCell ref="M186:M191"/>
    <mergeCell ref="N186:N191"/>
    <mergeCell ref="O186:O191"/>
    <mergeCell ref="P175:P178"/>
    <mergeCell ref="Q175:Q178"/>
    <mergeCell ref="I175:I178"/>
    <mergeCell ref="J175:J178"/>
    <mergeCell ref="K175:K178"/>
    <mergeCell ref="L175:L178"/>
    <mergeCell ref="M175:M178"/>
    <mergeCell ref="N175:N178"/>
    <mergeCell ref="O175:O178"/>
    <mergeCell ref="P179:P181"/>
    <mergeCell ref="Q179:Q181"/>
    <mergeCell ref="N182:N184"/>
    <mergeCell ref="O182:O184"/>
    <mergeCell ref="R179:R181"/>
    <mergeCell ref="I179:I181"/>
    <mergeCell ref="J179:J181"/>
    <mergeCell ref="K179:K181"/>
    <mergeCell ref="L179:L181"/>
    <mergeCell ref="M179:M181"/>
    <mergeCell ref="N179:N181"/>
    <mergeCell ref="O179:O181"/>
    <mergeCell ref="A179:A181"/>
    <mergeCell ref="B179:B181"/>
    <mergeCell ref="C179:C181"/>
    <mergeCell ref="D179:D181"/>
    <mergeCell ref="F179:F181"/>
    <mergeCell ref="G179:G181"/>
    <mergeCell ref="H179:H181"/>
    <mergeCell ref="P182:P184"/>
    <mergeCell ref="Q182:Q184"/>
    <mergeCell ref="R182:R184"/>
    <mergeCell ref="A182:A184"/>
    <mergeCell ref="B182:B184"/>
    <mergeCell ref="C182:C184"/>
    <mergeCell ref="D182:D184"/>
    <mergeCell ref="F182:F184"/>
    <mergeCell ref="G182:G184"/>
    <mergeCell ref="H182:H184"/>
    <mergeCell ref="R186:R191"/>
    <mergeCell ref="A186:A191"/>
    <mergeCell ref="B186:B191"/>
    <mergeCell ref="C186:C191"/>
    <mergeCell ref="D186:D191"/>
    <mergeCell ref="F186:F191"/>
    <mergeCell ref="G186:G191"/>
    <mergeCell ref="H186:H191"/>
    <mergeCell ref="P200:P207"/>
    <mergeCell ref="Q200:Q207"/>
    <mergeCell ref="I200:I207"/>
    <mergeCell ref="J200:J207"/>
    <mergeCell ref="K200:K207"/>
    <mergeCell ref="L200:L207"/>
    <mergeCell ref="M200:M207"/>
    <mergeCell ref="N200:N207"/>
    <mergeCell ref="O200:O207"/>
    <mergeCell ref="P194:P195"/>
    <mergeCell ref="Q194:Q195"/>
    <mergeCell ref="R194:R195"/>
    <mergeCell ref="I194:I195"/>
    <mergeCell ref="J194:J195"/>
    <mergeCell ref="K194:K195"/>
    <mergeCell ref="L194:L195"/>
    <mergeCell ref="M194:M195"/>
    <mergeCell ref="N194:N195"/>
    <mergeCell ref="O194:O195"/>
    <mergeCell ref="A194:A195"/>
    <mergeCell ref="B194:B195"/>
    <mergeCell ref="C194:C195"/>
    <mergeCell ref="D194:D195"/>
    <mergeCell ref="F194:F195"/>
    <mergeCell ref="G194:G195"/>
    <mergeCell ref="H194:H195"/>
    <mergeCell ref="P196:P199"/>
    <mergeCell ref="Q196:Q199"/>
    <mergeCell ref="R196:R199"/>
    <mergeCell ref="R200:R207"/>
    <mergeCell ref="I196:I199"/>
    <mergeCell ref="J196:J199"/>
    <mergeCell ref="K196:K199"/>
    <mergeCell ref="L196:L199"/>
    <mergeCell ref="M196:M199"/>
    <mergeCell ref="N196:N199"/>
    <mergeCell ref="O196:O199"/>
    <mergeCell ref="A196:A199"/>
    <mergeCell ref="B196:B199"/>
    <mergeCell ref="C196:C199"/>
    <mergeCell ref="D196:D199"/>
    <mergeCell ref="F196:F199"/>
    <mergeCell ref="G196:G199"/>
    <mergeCell ref="H196:H199"/>
    <mergeCell ref="A200:A207"/>
    <mergeCell ref="B200:B207"/>
    <mergeCell ref="C200:C207"/>
    <mergeCell ref="D200:D207"/>
    <mergeCell ref="F200:F207"/>
    <mergeCell ref="G200:G207"/>
    <mergeCell ref="H200:H207"/>
    <mergeCell ref="E196:E199"/>
    <mergeCell ref="E200:E207"/>
    <mergeCell ref="F216:F219"/>
    <mergeCell ref="G216:G219"/>
    <mergeCell ref="H216:H219"/>
    <mergeCell ref="P216:P219"/>
    <mergeCell ref="Q216:Q219"/>
    <mergeCell ref="I216:I219"/>
    <mergeCell ref="J216:J219"/>
    <mergeCell ref="K216:K219"/>
    <mergeCell ref="L216:L219"/>
    <mergeCell ref="M216:M219"/>
    <mergeCell ref="N216:N219"/>
    <mergeCell ref="O216:O219"/>
    <mergeCell ref="P208:P209"/>
    <mergeCell ref="Q208:Q209"/>
    <mergeCell ref="R208:R209"/>
    <mergeCell ref="I208:I209"/>
    <mergeCell ref="J208:J209"/>
    <mergeCell ref="K208:K209"/>
    <mergeCell ref="L208:L209"/>
    <mergeCell ref="M208:M209"/>
    <mergeCell ref="N208:N209"/>
    <mergeCell ref="O208:O209"/>
    <mergeCell ref="L340:L341"/>
    <mergeCell ref="M340:M341"/>
    <mergeCell ref="N340:N341"/>
    <mergeCell ref="A208:A209"/>
    <mergeCell ref="B208:B209"/>
    <mergeCell ref="C208:C209"/>
    <mergeCell ref="D208:D209"/>
    <mergeCell ref="F208:F209"/>
    <mergeCell ref="G208:G209"/>
    <mergeCell ref="H208:H209"/>
    <mergeCell ref="P211:P213"/>
    <mergeCell ref="Q211:Q213"/>
    <mergeCell ref="R211:R213"/>
    <mergeCell ref="R216:R219"/>
    <mergeCell ref="I211:I213"/>
    <mergeCell ref="J211:J213"/>
    <mergeCell ref="K211:K213"/>
    <mergeCell ref="L211:L213"/>
    <mergeCell ref="M211:M213"/>
    <mergeCell ref="N211:N213"/>
    <mergeCell ref="O211:O213"/>
    <mergeCell ref="A211:A213"/>
    <mergeCell ref="B211:B213"/>
    <mergeCell ref="C211:C213"/>
    <mergeCell ref="D211:D213"/>
    <mergeCell ref="F211:F213"/>
    <mergeCell ref="G211:G213"/>
    <mergeCell ref="H211:H213"/>
    <mergeCell ref="A216:A219"/>
    <mergeCell ref="B216:B219"/>
    <mergeCell ref="C216:C219"/>
    <mergeCell ref="D216:D219"/>
    <mergeCell ref="G338:G339"/>
    <mergeCell ref="G342:G343"/>
    <mergeCell ref="H342:H343"/>
    <mergeCell ref="I342:I343"/>
    <mergeCell ref="J342:J343"/>
    <mergeCell ref="K342:K343"/>
    <mergeCell ref="L342:L343"/>
    <mergeCell ref="A338:A339"/>
    <mergeCell ref="B338:B339"/>
    <mergeCell ref="C338:C339"/>
    <mergeCell ref="D338:D339"/>
    <mergeCell ref="F338:F339"/>
    <mergeCell ref="A340:A341"/>
    <mergeCell ref="A342:A343"/>
    <mergeCell ref="P338:P339"/>
    <mergeCell ref="Q338:Q339"/>
    <mergeCell ref="R338:R339"/>
    <mergeCell ref="I338:I339"/>
    <mergeCell ref="J338:J339"/>
    <mergeCell ref="K338:K339"/>
    <mergeCell ref="L338:L339"/>
    <mergeCell ref="M338:M339"/>
    <mergeCell ref="N338:N339"/>
    <mergeCell ref="O338:O339"/>
    <mergeCell ref="O340:O341"/>
    <mergeCell ref="P340:P341"/>
    <mergeCell ref="Q340:Q341"/>
    <mergeCell ref="R340:R341"/>
    <mergeCell ref="H338:H339"/>
    <mergeCell ref="I340:I341"/>
    <mergeCell ref="J340:J341"/>
    <mergeCell ref="K340:K341"/>
    <mergeCell ref="P419:P420"/>
    <mergeCell ref="Q419:Q420"/>
    <mergeCell ref="I419:I420"/>
    <mergeCell ref="J419:J420"/>
    <mergeCell ref="K419:K420"/>
    <mergeCell ref="L419:L420"/>
    <mergeCell ref="M419:M420"/>
    <mergeCell ref="N419:N420"/>
    <mergeCell ref="O419:O420"/>
    <mergeCell ref="P430:P434"/>
    <mergeCell ref="Q430:Q434"/>
    <mergeCell ref="M342:M343"/>
    <mergeCell ref="N342:N343"/>
    <mergeCell ref="O342:O343"/>
    <mergeCell ref="P342:P343"/>
    <mergeCell ref="Q342:Q343"/>
    <mergeCell ref="R342:R343"/>
    <mergeCell ref="R430:R434"/>
    <mergeCell ref="I430:I434"/>
    <mergeCell ref="J430:J434"/>
    <mergeCell ref="K430:K434"/>
    <mergeCell ref="L430:L434"/>
    <mergeCell ref="M430:M434"/>
    <mergeCell ref="N430:N434"/>
    <mergeCell ref="O430:O434"/>
    <mergeCell ref="P344:P345"/>
    <mergeCell ref="Q344:Q345"/>
    <mergeCell ref="R344:R345"/>
    <mergeCell ref="I344:I345"/>
    <mergeCell ref="J344:J345"/>
    <mergeCell ref="K344:K345"/>
    <mergeCell ref="L344:L345"/>
    <mergeCell ref="A430:A434"/>
    <mergeCell ref="B430:B434"/>
    <mergeCell ref="C430:C434"/>
    <mergeCell ref="D430:D434"/>
    <mergeCell ref="F430:F434"/>
    <mergeCell ref="G430:G434"/>
    <mergeCell ref="H430:H434"/>
    <mergeCell ref="P435:P439"/>
    <mergeCell ref="Q435:Q439"/>
    <mergeCell ref="R435:R439"/>
    <mergeCell ref="I435:I439"/>
    <mergeCell ref="J435:J439"/>
    <mergeCell ref="K435:K439"/>
    <mergeCell ref="L435:L439"/>
    <mergeCell ref="M435:M439"/>
    <mergeCell ref="N435:N439"/>
    <mergeCell ref="O435:O439"/>
    <mergeCell ref="A435:A439"/>
    <mergeCell ref="B435:B439"/>
    <mergeCell ref="C435:C439"/>
    <mergeCell ref="D435:D439"/>
    <mergeCell ref="F435:F439"/>
    <mergeCell ref="G435:G439"/>
    <mergeCell ref="H435:H439"/>
    <mergeCell ref="R440:R444"/>
    <mergeCell ref="A440:A444"/>
    <mergeCell ref="B440:B444"/>
    <mergeCell ref="C440:C444"/>
    <mergeCell ref="D440:D444"/>
    <mergeCell ref="F440:F444"/>
    <mergeCell ref="G440:G444"/>
    <mergeCell ref="H440:H444"/>
    <mergeCell ref="P362:P363"/>
    <mergeCell ref="Q362:Q363"/>
    <mergeCell ref="I362:I363"/>
    <mergeCell ref="J362:J363"/>
    <mergeCell ref="K362:K363"/>
    <mergeCell ref="L362:L363"/>
    <mergeCell ref="M362:M363"/>
    <mergeCell ref="N362:N363"/>
    <mergeCell ref="O362:O363"/>
    <mergeCell ref="P370:P372"/>
    <mergeCell ref="Q370:Q372"/>
    <mergeCell ref="I370:I372"/>
    <mergeCell ref="J370:J372"/>
    <mergeCell ref="K370:K372"/>
    <mergeCell ref="L370:L372"/>
    <mergeCell ref="M370:M372"/>
    <mergeCell ref="N370:N372"/>
    <mergeCell ref="O370:O372"/>
    <mergeCell ref="P364:P366"/>
    <mergeCell ref="Q364:Q366"/>
    <mergeCell ref="R364:R366"/>
    <mergeCell ref="I364:I366"/>
    <mergeCell ref="J364:J366"/>
    <mergeCell ref="K364:K366"/>
    <mergeCell ref="M344:M345"/>
    <mergeCell ref="N344:N345"/>
    <mergeCell ref="O344:O345"/>
    <mergeCell ref="A344:A345"/>
    <mergeCell ref="B344:B345"/>
    <mergeCell ref="C344:C345"/>
    <mergeCell ref="D344:D345"/>
    <mergeCell ref="F344:F345"/>
    <mergeCell ref="G344:G345"/>
    <mergeCell ref="H344:H345"/>
    <mergeCell ref="P358:P359"/>
    <mergeCell ref="Q358:Q359"/>
    <mergeCell ref="R358:R359"/>
    <mergeCell ref="R362:R363"/>
    <mergeCell ref="I358:I359"/>
    <mergeCell ref="J358:J359"/>
    <mergeCell ref="K358:K359"/>
    <mergeCell ref="L358:L359"/>
    <mergeCell ref="M358:M359"/>
    <mergeCell ref="N358:N359"/>
    <mergeCell ref="O358:O359"/>
    <mergeCell ref="A358:A359"/>
    <mergeCell ref="B358:B359"/>
    <mergeCell ref="C358:C359"/>
    <mergeCell ref="D358:D359"/>
    <mergeCell ref="F358:F359"/>
    <mergeCell ref="G358:G359"/>
    <mergeCell ref="H358:H359"/>
    <mergeCell ref="A362:A363"/>
    <mergeCell ref="B362:B363"/>
    <mergeCell ref="C362:C363"/>
    <mergeCell ref="D362:D363"/>
    <mergeCell ref="F362:F363"/>
    <mergeCell ref="G362:G363"/>
    <mergeCell ref="H362:H363"/>
    <mergeCell ref="L364:L366"/>
    <mergeCell ref="M364:M366"/>
    <mergeCell ref="N364:N366"/>
    <mergeCell ref="O364:O366"/>
    <mergeCell ref="A364:A366"/>
    <mergeCell ref="B364:B366"/>
    <mergeCell ref="C364:C366"/>
    <mergeCell ref="D364:D366"/>
    <mergeCell ref="F364:F366"/>
    <mergeCell ref="G364:G366"/>
    <mergeCell ref="H364:H366"/>
    <mergeCell ref="P367:P369"/>
    <mergeCell ref="Q367:Q369"/>
    <mergeCell ref="R367:R369"/>
    <mergeCell ref="R370:R372"/>
    <mergeCell ref="I367:I369"/>
    <mergeCell ref="J367:J369"/>
    <mergeCell ref="K367:K369"/>
    <mergeCell ref="L367:L369"/>
    <mergeCell ref="M367:M369"/>
    <mergeCell ref="N367:N369"/>
    <mergeCell ref="O367:O369"/>
    <mergeCell ref="A367:A369"/>
    <mergeCell ref="B367:B369"/>
    <mergeCell ref="C367:C369"/>
    <mergeCell ref="D367:D369"/>
    <mergeCell ref="F367:F369"/>
    <mergeCell ref="G367:G369"/>
    <mergeCell ref="H367:H369"/>
    <mergeCell ref="A370:A372"/>
    <mergeCell ref="B370:B372"/>
    <mergeCell ref="C370:C372"/>
    <mergeCell ref="D370:D372"/>
    <mergeCell ref="F370:F372"/>
    <mergeCell ref="G370:G372"/>
    <mergeCell ref="H370:H372"/>
    <mergeCell ref="C382:C383"/>
    <mergeCell ref="D382:D383"/>
    <mergeCell ref="F382:F383"/>
    <mergeCell ref="G382:G383"/>
    <mergeCell ref="H382:H383"/>
    <mergeCell ref="P382:P383"/>
    <mergeCell ref="Q382:Q383"/>
    <mergeCell ref="I382:I383"/>
    <mergeCell ref="J382:J383"/>
    <mergeCell ref="K382:K383"/>
    <mergeCell ref="L382:L383"/>
    <mergeCell ref="M382:M383"/>
    <mergeCell ref="N382:N383"/>
    <mergeCell ref="O382:O383"/>
    <mergeCell ref="P373:P376"/>
    <mergeCell ref="Q373:Q376"/>
    <mergeCell ref="R373:R376"/>
    <mergeCell ref="I373:I376"/>
    <mergeCell ref="J373:J376"/>
    <mergeCell ref="K373:K376"/>
    <mergeCell ref="L373:L376"/>
    <mergeCell ref="M373:M376"/>
    <mergeCell ref="N373:N376"/>
    <mergeCell ref="O373:O376"/>
    <mergeCell ref="R475:R476"/>
    <mergeCell ref="R477:R479"/>
    <mergeCell ref="I475:I476"/>
    <mergeCell ref="J475:J476"/>
    <mergeCell ref="K475:K476"/>
    <mergeCell ref="A373:A376"/>
    <mergeCell ref="B373:B376"/>
    <mergeCell ref="C373:C376"/>
    <mergeCell ref="D373:D376"/>
    <mergeCell ref="F373:F376"/>
    <mergeCell ref="G373:G376"/>
    <mergeCell ref="H373:H376"/>
    <mergeCell ref="P378:P379"/>
    <mergeCell ref="Q378:Q379"/>
    <mergeCell ref="R378:R379"/>
    <mergeCell ref="R382:R383"/>
    <mergeCell ref="I378:I379"/>
    <mergeCell ref="J378:J379"/>
    <mergeCell ref="K378:K379"/>
    <mergeCell ref="L378:L379"/>
    <mergeCell ref="M378:M379"/>
    <mergeCell ref="N378:N379"/>
    <mergeCell ref="O378:O379"/>
    <mergeCell ref="A378:A379"/>
    <mergeCell ref="B378:B379"/>
    <mergeCell ref="C378:C379"/>
    <mergeCell ref="D378:D379"/>
    <mergeCell ref="F378:F379"/>
    <mergeCell ref="G378:G379"/>
    <mergeCell ref="H378:H379"/>
    <mergeCell ref="A382:A383"/>
    <mergeCell ref="B382:B383"/>
    <mergeCell ref="R469:R471"/>
    <mergeCell ref="I469:I471"/>
    <mergeCell ref="J469:J471"/>
    <mergeCell ref="K469:K471"/>
    <mergeCell ref="L469:L471"/>
    <mergeCell ref="M469:M471"/>
    <mergeCell ref="N469:N471"/>
    <mergeCell ref="O469:O471"/>
    <mergeCell ref="R466:R467"/>
    <mergeCell ref="R480:R481"/>
    <mergeCell ref="I480:I481"/>
    <mergeCell ref="J480:J481"/>
    <mergeCell ref="K480:K481"/>
    <mergeCell ref="L480:L481"/>
    <mergeCell ref="M480:M481"/>
    <mergeCell ref="N480:N481"/>
    <mergeCell ref="O480:O481"/>
    <mergeCell ref="R472:R473"/>
    <mergeCell ref="I472:I473"/>
    <mergeCell ref="J472:J473"/>
    <mergeCell ref="K472:K473"/>
    <mergeCell ref="L472:L473"/>
    <mergeCell ref="M472:M473"/>
    <mergeCell ref="N472:N473"/>
    <mergeCell ref="O472:O473"/>
    <mergeCell ref="P477:P479"/>
    <mergeCell ref="Q477:Q479"/>
    <mergeCell ref="I477:I479"/>
    <mergeCell ref="J477:J479"/>
    <mergeCell ref="K477:K479"/>
    <mergeCell ref="L477:L479"/>
    <mergeCell ref="M477:M479"/>
    <mergeCell ref="A485:A489"/>
    <mergeCell ref="H480:H481"/>
    <mergeCell ref="P480:P481"/>
    <mergeCell ref="Q480:Q481"/>
    <mergeCell ref="L475:L476"/>
    <mergeCell ref="M475:M476"/>
    <mergeCell ref="N475:N476"/>
    <mergeCell ref="O475:O476"/>
    <mergeCell ref="P466:P467"/>
    <mergeCell ref="Q466:Q467"/>
    <mergeCell ref="I466:I467"/>
    <mergeCell ref="J466:J467"/>
    <mergeCell ref="K466:K467"/>
    <mergeCell ref="L466:L467"/>
    <mergeCell ref="M466:M467"/>
    <mergeCell ref="N466:N467"/>
    <mergeCell ref="O466:O467"/>
    <mergeCell ref="P469:P471"/>
    <mergeCell ref="Q469:Q471"/>
    <mergeCell ref="N477:N479"/>
    <mergeCell ref="O477:O479"/>
    <mergeCell ref="P475:P476"/>
    <mergeCell ref="Q475:Q476"/>
    <mergeCell ref="A469:A471"/>
    <mergeCell ref="B469:B471"/>
    <mergeCell ref="C469:C471"/>
    <mergeCell ref="D469:D471"/>
    <mergeCell ref="F469:F471"/>
    <mergeCell ref="G469:G471"/>
    <mergeCell ref="H469:H471"/>
    <mergeCell ref="A472:A473"/>
    <mergeCell ref="B472:B473"/>
    <mergeCell ref="C472:C473"/>
    <mergeCell ref="D472:D473"/>
    <mergeCell ref="F472:F473"/>
    <mergeCell ref="G472:G473"/>
    <mergeCell ref="H472:H473"/>
    <mergeCell ref="H490:H491"/>
    <mergeCell ref="P485:P489"/>
    <mergeCell ref="Q485:Q489"/>
    <mergeCell ref="A477:A479"/>
    <mergeCell ref="B477:B479"/>
    <mergeCell ref="C477:C479"/>
    <mergeCell ref="D477:D479"/>
    <mergeCell ref="F477:F479"/>
    <mergeCell ref="G477:G479"/>
    <mergeCell ref="H477:H479"/>
    <mergeCell ref="A480:A481"/>
    <mergeCell ref="B480:B481"/>
    <mergeCell ref="C480:C481"/>
    <mergeCell ref="D480:D481"/>
    <mergeCell ref="F480:F481"/>
    <mergeCell ref="G480:G481"/>
    <mergeCell ref="P472:P473"/>
    <mergeCell ref="Q472:Q473"/>
    <mergeCell ref="B485:B489"/>
    <mergeCell ref="C485:C489"/>
    <mergeCell ref="D485:D489"/>
    <mergeCell ref="F485:F489"/>
    <mergeCell ref="G485:G489"/>
    <mergeCell ref="H485:H489"/>
    <mergeCell ref="P490:P491"/>
    <mergeCell ref="Q490:Q491"/>
    <mergeCell ref="A490:A491"/>
    <mergeCell ref="R490:R491"/>
    <mergeCell ref="P492:P495"/>
    <mergeCell ref="Q492:Q495"/>
    <mergeCell ref="I492:I495"/>
    <mergeCell ref="J492:J495"/>
    <mergeCell ref="K492:K495"/>
    <mergeCell ref="L492:L495"/>
    <mergeCell ref="M492:M495"/>
    <mergeCell ref="N492:N495"/>
    <mergeCell ref="O492:O495"/>
    <mergeCell ref="I490:I491"/>
    <mergeCell ref="J490:J491"/>
    <mergeCell ref="K490:K491"/>
    <mergeCell ref="L490:L491"/>
    <mergeCell ref="M490:M491"/>
    <mergeCell ref="N490:N491"/>
    <mergeCell ref="O490:O491"/>
    <mergeCell ref="B490:B491"/>
    <mergeCell ref="C490:C491"/>
    <mergeCell ref="D490:D491"/>
    <mergeCell ref="F490:F491"/>
    <mergeCell ref="G490:G491"/>
    <mergeCell ref="O540:O542"/>
    <mergeCell ref="P540:P542"/>
    <mergeCell ref="Q540:Q542"/>
    <mergeCell ref="R540:R542"/>
    <mergeCell ref="H540:H542"/>
    <mergeCell ref="I540:I542"/>
    <mergeCell ref="J540:J542"/>
    <mergeCell ref="K540:K542"/>
    <mergeCell ref="L540:L542"/>
    <mergeCell ref="M540:M542"/>
    <mergeCell ref="N540:N542"/>
    <mergeCell ref="P521:P522"/>
    <mergeCell ref="Q521:Q522"/>
    <mergeCell ref="R521:R522"/>
    <mergeCell ref="I521:I522"/>
    <mergeCell ref="J521:J522"/>
    <mergeCell ref="K521:K522"/>
    <mergeCell ref="L521:L522"/>
    <mergeCell ref="M521:M522"/>
    <mergeCell ref="N521:N522"/>
    <mergeCell ref="O521:O522"/>
    <mergeCell ref="P523:P524"/>
    <mergeCell ref="Q523:Q524"/>
    <mergeCell ref="R523:R524"/>
    <mergeCell ref="I523:I524"/>
    <mergeCell ref="J523:J524"/>
    <mergeCell ref="F523:F524"/>
    <mergeCell ref="H523:H524"/>
    <mergeCell ref="K536:K539"/>
    <mergeCell ref="L536:L539"/>
    <mergeCell ref="M536:M539"/>
    <mergeCell ref="K523:K524"/>
    <mergeCell ref="L523:L524"/>
    <mergeCell ref="M523:M524"/>
    <mergeCell ref="N523:N524"/>
    <mergeCell ref="O523:O524"/>
    <mergeCell ref="R492:R495"/>
    <mergeCell ref="A492:A495"/>
    <mergeCell ref="B492:B495"/>
    <mergeCell ref="C492:C495"/>
    <mergeCell ref="D492:D495"/>
    <mergeCell ref="F492:F495"/>
    <mergeCell ref="G492:G495"/>
    <mergeCell ref="H492:H495"/>
    <mergeCell ref="A521:A522"/>
    <mergeCell ref="B521:B522"/>
    <mergeCell ref="C521:C522"/>
    <mergeCell ref="L525:L526"/>
    <mergeCell ref="M525:M526"/>
    <mergeCell ref="N525:N526"/>
    <mergeCell ref="O525:O526"/>
    <mergeCell ref="P504:P506"/>
    <mergeCell ref="R504:R506"/>
    <mergeCell ref="R507:R508"/>
    <mergeCell ref="I504:I506"/>
    <mergeCell ref="J504:J506"/>
    <mergeCell ref="K504:K506"/>
    <mergeCell ref="N536:N539"/>
    <mergeCell ref="D528:D529"/>
    <mergeCell ref="O536:O539"/>
    <mergeCell ref="P536:P539"/>
    <mergeCell ref="Q536:Q539"/>
    <mergeCell ref="R536:R539"/>
    <mergeCell ref="K525:K526"/>
    <mergeCell ref="K528:K529"/>
    <mergeCell ref="A536:A539"/>
    <mergeCell ref="H536:H539"/>
    <mergeCell ref="I536:I539"/>
    <mergeCell ref="J536:J539"/>
    <mergeCell ref="Q530:Q534"/>
    <mergeCell ref="P525:P526"/>
    <mergeCell ref="Q525:Q526"/>
    <mergeCell ref="R525:R526"/>
    <mergeCell ref="N528:N529"/>
    <mergeCell ref="O528:O529"/>
    <mergeCell ref="P528:P529"/>
    <mergeCell ref="Q528:Q529"/>
    <mergeCell ref="R528:R529"/>
    <mergeCell ref="I525:I526"/>
    <mergeCell ref="J525:J526"/>
    <mergeCell ref="L528:L529"/>
    <mergeCell ref="M528:M529"/>
    <mergeCell ref="H525:H526"/>
    <mergeCell ref="E528:E529"/>
    <mergeCell ref="F528:F529"/>
    <mergeCell ref="G528:G529"/>
    <mergeCell ref="H528:H529"/>
    <mergeCell ref="I528:I529"/>
    <mergeCell ref="J528:J529"/>
    <mergeCell ref="H547:H548"/>
    <mergeCell ref="I547:I548"/>
    <mergeCell ref="Q547:Q548"/>
    <mergeCell ref="R547:R548"/>
    <mergeCell ref="J547:J548"/>
    <mergeCell ref="K547:K548"/>
    <mergeCell ref="L547:L548"/>
    <mergeCell ref="M547:M548"/>
    <mergeCell ref="N547:N548"/>
    <mergeCell ref="O547:O548"/>
    <mergeCell ref="P547:P548"/>
    <mergeCell ref="A547:A548"/>
    <mergeCell ref="B547:B548"/>
    <mergeCell ref="C547:C548"/>
    <mergeCell ref="D547:D548"/>
    <mergeCell ref="F547:F548"/>
    <mergeCell ref="G547:G548"/>
    <mergeCell ref="E547:E548"/>
    <mergeCell ref="P549:P550"/>
    <mergeCell ref="Q549:Q550"/>
    <mergeCell ref="R549:R550"/>
    <mergeCell ref="I549:I550"/>
    <mergeCell ref="J549:J550"/>
    <mergeCell ref="K549:K550"/>
    <mergeCell ref="L549:L550"/>
    <mergeCell ref="M549:M550"/>
    <mergeCell ref="N549:N550"/>
    <mergeCell ref="O549:O550"/>
    <mergeCell ref="A549:A550"/>
    <mergeCell ref="B549:B550"/>
    <mergeCell ref="C549:C550"/>
    <mergeCell ref="D549:D550"/>
    <mergeCell ref="F549:F550"/>
    <mergeCell ref="G549:G550"/>
    <mergeCell ref="H549:H550"/>
    <mergeCell ref="E549:E550"/>
    <mergeCell ref="P555:P556"/>
    <mergeCell ref="Q555:Q556"/>
    <mergeCell ref="I555:I556"/>
    <mergeCell ref="J555:J556"/>
    <mergeCell ref="K555:K556"/>
    <mergeCell ref="L555:L556"/>
    <mergeCell ref="M555:M556"/>
    <mergeCell ref="N555:N556"/>
    <mergeCell ref="O555:O556"/>
    <mergeCell ref="P551:P552"/>
    <mergeCell ref="Q551:Q552"/>
    <mergeCell ref="R551:R552"/>
    <mergeCell ref="I551:I552"/>
    <mergeCell ref="J551:J552"/>
    <mergeCell ref="K551:K552"/>
    <mergeCell ref="L551:L552"/>
    <mergeCell ref="M551:M552"/>
    <mergeCell ref="N551:N552"/>
    <mergeCell ref="O551:O552"/>
    <mergeCell ref="A551:A552"/>
    <mergeCell ref="B551:B552"/>
    <mergeCell ref="C551:C552"/>
    <mergeCell ref="D551:D552"/>
    <mergeCell ref="F551:F552"/>
    <mergeCell ref="G551:G552"/>
    <mergeCell ref="H551:H552"/>
    <mergeCell ref="P553:P554"/>
    <mergeCell ref="Q553:Q554"/>
    <mergeCell ref="R553:R554"/>
    <mergeCell ref="R555:R556"/>
    <mergeCell ref="I553:I554"/>
    <mergeCell ref="J553:J554"/>
    <mergeCell ref="K553:K554"/>
    <mergeCell ref="L553:L554"/>
    <mergeCell ref="M553:M554"/>
    <mergeCell ref="N553:N554"/>
    <mergeCell ref="O553:O554"/>
    <mergeCell ref="A553:A554"/>
    <mergeCell ref="B553:B554"/>
    <mergeCell ref="C553:C554"/>
    <mergeCell ref="D553:D554"/>
    <mergeCell ref="F553:F554"/>
    <mergeCell ref="G553:G554"/>
    <mergeCell ref="H553:H554"/>
    <mergeCell ref="A555:A556"/>
    <mergeCell ref="B555:B556"/>
    <mergeCell ref="C555:C556"/>
    <mergeCell ref="D555:D556"/>
    <mergeCell ref="F555:F556"/>
    <mergeCell ref="G555:G556"/>
    <mergeCell ref="H555:H556"/>
    <mergeCell ref="P567:P569"/>
    <mergeCell ref="Q567:Q569"/>
    <mergeCell ref="I567:I569"/>
    <mergeCell ref="J567:J569"/>
    <mergeCell ref="K567:K569"/>
    <mergeCell ref="L567:L569"/>
    <mergeCell ref="M567:M569"/>
    <mergeCell ref="N567:N569"/>
    <mergeCell ref="O567:O569"/>
    <mergeCell ref="P557:P558"/>
    <mergeCell ref="Q557:Q558"/>
    <mergeCell ref="R557:R558"/>
    <mergeCell ref="I557:I558"/>
    <mergeCell ref="J557:J558"/>
    <mergeCell ref="K557:K558"/>
    <mergeCell ref="L557:L558"/>
    <mergeCell ref="M557:M558"/>
    <mergeCell ref="N557:N558"/>
    <mergeCell ref="O557:O558"/>
    <mergeCell ref="A557:A558"/>
    <mergeCell ref="B557:B558"/>
    <mergeCell ref="C557:C558"/>
    <mergeCell ref="D557:D558"/>
    <mergeCell ref="F557:F558"/>
    <mergeCell ref="G557:G558"/>
    <mergeCell ref="H557:H558"/>
    <mergeCell ref="P559:P560"/>
    <mergeCell ref="Q559:Q560"/>
    <mergeCell ref="R567:R569"/>
    <mergeCell ref="R559:R560"/>
    <mergeCell ref="I559:I560"/>
    <mergeCell ref="J559:J560"/>
    <mergeCell ref="K559:K560"/>
    <mergeCell ref="L559:L560"/>
    <mergeCell ref="M559:M560"/>
    <mergeCell ref="N559:N560"/>
    <mergeCell ref="O559:O560"/>
    <mergeCell ref="A559:A560"/>
    <mergeCell ref="B559:B560"/>
    <mergeCell ref="C559:C560"/>
    <mergeCell ref="D559:D560"/>
    <mergeCell ref="F559:F560"/>
    <mergeCell ref="G559:G560"/>
    <mergeCell ref="H559:H560"/>
    <mergeCell ref="A567:A569"/>
    <mergeCell ref="B567:B569"/>
    <mergeCell ref="C567:C569"/>
    <mergeCell ref="D567:D569"/>
    <mergeCell ref="F567:F569"/>
    <mergeCell ref="G567:G569"/>
    <mergeCell ref="H567:H569"/>
    <mergeCell ref="P617:P618"/>
    <mergeCell ref="Q617:Q618"/>
    <mergeCell ref="I617:I618"/>
    <mergeCell ref="J617:J618"/>
    <mergeCell ref="K617:K618"/>
    <mergeCell ref="L617:L618"/>
    <mergeCell ref="M617:M618"/>
    <mergeCell ref="N617:N618"/>
    <mergeCell ref="O617:O618"/>
    <mergeCell ref="P609:P612"/>
    <mergeCell ref="Q609:Q612"/>
    <mergeCell ref="R609:R612"/>
    <mergeCell ref="I609:I612"/>
    <mergeCell ref="J609:J612"/>
    <mergeCell ref="K609:K612"/>
    <mergeCell ref="L609:L612"/>
    <mergeCell ref="M609:M612"/>
    <mergeCell ref="N609:N612"/>
    <mergeCell ref="O609:O612"/>
    <mergeCell ref="A609:A612"/>
    <mergeCell ref="B609:B612"/>
    <mergeCell ref="C609:C612"/>
    <mergeCell ref="D609:D612"/>
    <mergeCell ref="F609:F612"/>
    <mergeCell ref="G609:G612"/>
    <mergeCell ref="H609:H612"/>
    <mergeCell ref="P613:P616"/>
    <mergeCell ref="Q613:Q616"/>
    <mergeCell ref="R613:R616"/>
    <mergeCell ref="R617:R618"/>
    <mergeCell ref="I613:I616"/>
    <mergeCell ref="J613:J616"/>
    <mergeCell ref="K613:K616"/>
    <mergeCell ref="L613:L616"/>
    <mergeCell ref="M613:M616"/>
    <mergeCell ref="N613:N616"/>
    <mergeCell ref="O613:O616"/>
    <mergeCell ref="A613:A616"/>
    <mergeCell ref="B613:B616"/>
    <mergeCell ref="C613:C616"/>
    <mergeCell ref="D613:D616"/>
    <mergeCell ref="F613:F616"/>
    <mergeCell ref="G613:G616"/>
    <mergeCell ref="H613:H616"/>
    <mergeCell ref="A617:A618"/>
    <mergeCell ref="B617:B618"/>
    <mergeCell ref="C617:C618"/>
    <mergeCell ref="D617:D618"/>
    <mergeCell ref="F617:F618"/>
    <mergeCell ref="G617:G618"/>
    <mergeCell ref="H617:H618"/>
    <mergeCell ref="Q581:Q583"/>
    <mergeCell ref="I581:I583"/>
    <mergeCell ref="J581:J583"/>
    <mergeCell ref="K581:K583"/>
    <mergeCell ref="L581:L583"/>
    <mergeCell ref="M581:M583"/>
    <mergeCell ref="N581:N583"/>
    <mergeCell ref="O581:O583"/>
    <mergeCell ref="P572:P573"/>
    <mergeCell ref="Q572:Q573"/>
    <mergeCell ref="R572:R573"/>
    <mergeCell ref="I572:I573"/>
    <mergeCell ref="J572:J573"/>
    <mergeCell ref="K572:K573"/>
    <mergeCell ref="L572:L573"/>
    <mergeCell ref="M572:M573"/>
    <mergeCell ref="N572:N573"/>
    <mergeCell ref="O572:O573"/>
    <mergeCell ref="A572:A573"/>
    <mergeCell ref="B572:B573"/>
    <mergeCell ref="C572:C573"/>
    <mergeCell ref="D572:D573"/>
    <mergeCell ref="F572:F573"/>
    <mergeCell ref="G572:G573"/>
    <mergeCell ref="H572:H573"/>
    <mergeCell ref="P576:P579"/>
    <mergeCell ref="Q576:Q579"/>
    <mergeCell ref="R576:R579"/>
    <mergeCell ref="R581:R583"/>
    <mergeCell ref="I576:I579"/>
    <mergeCell ref="J576:J579"/>
    <mergeCell ref="K576:K579"/>
    <mergeCell ref="L576:L579"/>
    <mergeCell ref="M576:M579"/>
    <mergeCell ref="N576:N579"/>
    <mergeCell ref="O576:O579"/>
    <mergeCell ref="A576:A579"/>
    <mergeCell ref="C576:C579"/>
    <mergeCell ref="D576:D579"/>
    <mergeCell ref="F576:F579"/>
    <mergeCell ref="G576:G579"/>
    <mergeCell ref="H576:H579"/>
    <mergeCell ref="A581:A583"/>
    <mergeCell ref="B581:B583"/>
    <mergeCell ref="C581:C583"/>
    <mergeCell ref="D581:D583"/>
    <mergeCell ref="F581:F583"/>
    <mergeCell ref="G581:G583"/>
    <mergeCell ref="H581:H583"/>
    <mergeCell ref="P581:P583"/>
    <mergeCell ref="P594:P595"/>
    <mergeCell ref="Q594:Q595"/>
    <mergeCell ref="I594:I595"/>
    <mergeCell ref="J594:J595"/>
    <mergeCell ref="K594:K595"/>
    <mergeCell ref="L594:L595"/>
    <mergeCell ref="M594:M595"/>
    <mergeCell ref="N594:N595"/>
    <mergeCell ref="O594:O595"/>
    <mergeCell ref="P585:P586"/>
    <mergeCell ref="Q585:Q586"/>
    <mergeCell ref="R585:R586"/>
    <mergeCell ref="I585:I586"/>
    <mergeCell ref="J585:J586"/>
    <mergeCell ref="K585:K586"/>
    <mergeCell ref="L585:L586"/>
    <mergeCell ref="M585:M586"/>
    <mergeCell ref="N585:N586"/>
    <mergeCell ref="O585:O586"/>
    <mergeCell ref="A585:A586"/>
    <mergeCell ref="B585:B586"/>
    <mergeCell ref="C585:C586"/>
    <mergeCell ref="D585:D586"/>
    <mergeCell ref="F585:F586"/>
    <mergeCell ref="G585:G586"/>
    <mergeCell ref="H585:H586"/>
    <mergeCell ref="P588:P592"/>
    <mergeCell ref="Q588:Q592"/>
    <mergeCell ref="R588:R592"/>
    <mergeCell ref="R594:R595"/>
    <mergeCell ref="I588:I592"/>
    <mergeCell ref="J588:J592"/>
    <mergeCell ref="K588:K592"/>
    <mergeCell ref="L588:L592"/>
    <mergeCell ref="M588:M592"/>
    <mergeCell ref="N588:N592"/>
    <mergeCell ref="O588:O592"/>
    <mergeCell ref="A588:A592"/>
    <mergeCell ref="B588:B592"/>
    <mergeCell ref="C588:C592"/>
    <mergeCell ref="D588:D592"/>
    <mergeCell ref="F588:F592"/>
    <mergeCell ref="G588:G592"/>
    <mergeCell ref="H588:H592"/>
    <mergeCell ref="A594:A595"/>
    <mergeCell ref="B594:B595"/>
    <mergeCell ref="C594:C595"/>
    <mergeCell ref="D594:D595"/>
    <mergeCell ref="F594:F595"/>
    <mergeCell ref="G594:G595"/>
    <mergeCell ref="H594:H595"/>
    <mergeCell ref="P605:P608"/>
    <mergeCell ref="Q605:Q608"/>
    <mergeCell ref="I605:I608"/>
    <mergeCell ref="J605:J608"/>
    <mergeCell ref="K605:K608"/>
    <mergeCell ref="L605:L608"/>
    <mergeCell ref="M605:M608"/>
    <mergeCell ref="N605:N608"/>
    <mergeCell ref="O605:O608"/>
    <mergeCell ref="P597:P600"/>
    <mergeCell ref="Q597:Q600"/>
    <mergeCell ref="R597:R600"/>
    <mergeCell ref="I597:I600"/>
    <mergeCell ref="J597:J600"/>
    <mergeCell ref="K597:K600"/>
    <mergeCell ref="L597:L600"/>
    <mergeCell ref="M597:M600"/>
    <mergeCell ref="N597:N600"/>
    <mergeCell ref="O597:O600"/>
    <mergeCell ref="A597:A600"/>
    <mergeCell ref="B597:B600"/>
    <mergeCell ref="C597:C600"/>
    <mergeCell ref="D597:D600"/>
    <mergeCell ref="F597:F600"/>
    <mergeCell ref="G597:G600"/>
    <mergeCell ref="H597:H600"/>
    <mergeCell ref="P601:P604"/>
    <mergeCell ref="Q601:Q604"/>
    <mergeCell ref="R601:R604"/>
    <mergeCell ref="R605:R608"/>
    <mergeCell ref="I601:I604"/>
    <mergeCell ref="J601:J604"/>
    <mergeCell ref="K601:K604"/>
    <mergeCell ref="L601:L604"/>
    <mergeCell ref="M601:M604"/>
    <mergeCell ref="N601:N604"/>
    <mergeCell ref="O601:O604"/>
    <mergeCell ref="A601:A604"/>
    <mergeCell ref="B601:B604"/>
    <mergeCell ref="C601:C604"/>
    <mergeCell ref="D601:D604"/>
    <mergeCell ref="F601:F604"/>
    <mergeCell ref="G601:G604"/>
    <mergeCell ref="H601:H604"/>
    <mergeCell ref="A605:A608"/>
    <mergeCell ref="B605:B608"/>
    <mergeCell ref="C605:C608"/>
    <mergeCell ref="D605:D608"/>
    <mergeCell ref="F605:F608"/>
    <mergeCell ref="G605:G608"/>
    <mergeCell ref="H605:H608"/>
    <mergeCell ref="P619:P620"/>
    <mergeCell ref="Q619:Q620"/>
    <mergeCell ref="R619:R620"/>
    <mergeCell ref="I619:I620"/>
    <mergeCell ref="J619:J620"/>
    <mergeCell ref="K619:K620"/>
    <mergeCell ref="L619:L620"/>
    <mergeCell ref="M619:M620"/>
    <mergeCell ref="N619:N620"/>
    <mergeCell ref="O619:O620"/>
    <mergeCell ref="A619:A620"/>
    <mergeCell ref="B619:B620"/>
    <mergeCell ref="C619:C620"/>
    <mergeCell ref="D619:D620"/>
    <mergeCell ref="F619:F620"/>
    <mergeCell ref="G619:G620"/>
    <mergeCell ref="H619:H620"/>
    <mergeCell ref="A627:A629"/>
    <mergeCell ref="B627:B629"/>
    <mergeCell ref="C627:C629"/>
    <mergeCell ref="D627:D629"/>
    <mergeCell ref="F627:F629"/>
    <mergeCell ref="G627:G629"/>
    <mergeCell ref="H627:H629"/>
    <mergeCell ref="P627:P629"/>
    <mergeCell ref="Q627:Q629"/>
    <mergeCell ref="R627:R629"/>
    <mergeCell ref="I627:I629"/>
    <mergeCell ref="J627:J629"/>
    <mergeCell ref="K627:K629"/>
    <mergeCell ref="L627:L629"/>
    <mergeCell ref="M627:M629"/>
    <mergeCell ref="N627:N629"/>
    <mergeCell ref="O627:O629"/>
    <mergeCell ref="P391:P396"/>
    <mergeCell ref="Q391:Q396"/>
    <mergeCell ref="I391:I396"/>
    <mergeCell ref="J391:J396"/>
    <mergeCell ref="K391:K396"/>
    <mergeCell ref="L391:L396"/>
    <mergeCell ref="M391:M396"/>
    <mergeCell ref="N391:N396"/>
    <mergeCell ref="O391:O396"/>
    <mergeCell ref="P384:P385"/>
    <mergeCell ref="Q384:Q385"/>
    <mergeCell ref="R384:R385"/>
    <mergeCell ref="I384:I385"/>
    <mergeCell ref="J384:J385"/>
    <mergeCell ref="K384:K385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F384:F385"/>
    <mergeCell ref="G384:G385"/>
    <mergeCell ref="H384:H385"/>
    <mergeCell ref="P386:P387"/>
    <mergeCell ref="Q386:Q387"/>
    <mergeCell ref="R386:R387"/>
    <mergeCell ref="R391:R396"/>
    <mergeCell ref="I386:I387"/>
    <mergeCell ref="J386:J387"/>
    <mergeCell ref="K386:K387"/>
    <mergeCell ref="L386:L387"/>
    <mergeCell ref="M386:M387"/>
    <mergeCell ref="N386:N387"/>
    <mergeCell ref="O386:O387"/>
    <mergeCell ref="A386:A387"/>
    <mergeCell ref="B386:B387"/>
    <mergeCell ref="C386:C387"/>
    <mergeCell ref="D386:D387"/>
    <mergeCell ref="F386:F387"/>
    <mergeCell ref="G386:G387"/>
    <mergeCell ref="H386:H387"/>
    <mergeCell ref="A391:A396"/>
    <mergeCell ref="B391:B396"/>
    <mergeCell ref="C391:C396"/>
    <mergeCell ref="D391:D396"/>
    <mergeCell ref="F391:F396"/>
    <mergeCell ref="G391:G396"/>
    <mergeCell ref="H391:H396"/>
    <mergeCell ref="P397:P399"/>
    <mergeCell ref="Q397:Q399"/>
    <mergeCell ref="I397:I399"/>
    <mergeCell ref="J397:J399"/>
    <mergeCell ref="K397:K399"/>
    <mergeCell ref="L397:L399"/>
    <mergeCell ref="M397:M399"/>
    <mergeCell ref="N397:N399"/>
    <mergeCell ref="O397:O399"/>
    <mergeCell ref="R397:R399"/>
    <mergeCell ref="A397:A399"/>
    <mergeCell ref="B397:B399"/>
    <mergeCell ref="C397:C399"/>
    <mergeCell ref="D397:D399"/>
    <mergeCell ref="F397:F399"/>
    <mergeCell ref="G397:G399"/>
    <mergeCell ref="H397:H399"/>
    <mergeCell ref="P400:P403"/>
    <mergeCell ref="Q400:Q403"/>
    <mergeCell ref="R400:R403"/>
    <mergeCell ref="I400:I403"/>
    <mergeCell ref="J400:J403"/>
    <mergeCell ref="K400:K403"/>
    <mergeCell ref="L400:L403"/>
    <mergeCell ref="M400:M403"/>
    <mergeCell ref="N400:N403"/>
    <mergeCell ref="O400:O403"/>
    <mergeCell ref="A400:A403"/>
    <mergeCell ref="B400:B403"/>
    <mergeCell ref="C400:C403"/>
    <mergeCell ref="D400:D403"/>
    <mergeCell ref="F400:F403"/>
    <mergeCell ref="G400:G403"/>
    <mergeCell ref="H400:H403"/>
    <mergeCell ref="A406:A407"/>
    <mergeCell ref="B406:B407"/>
    <mergeCell ref="C406:C407"/>
    <mergeCell ref="D406:D407"/>
    <mergeCell ref="F406:F407"/>
    <mergeCell ref="G406:G407"/>
    <mergeCell ref="H406:H407"/>
    <mergeCell ref="A410:A412"/>
    <mergeCell ref="B410:B412"/>
    <mergeCell ref="C410:C412"/>
    <mergeCell ref="D410:D412"/>
    <mergeCell ref="F410:F412"/>
    <mergeCell ref="G410:G412"/>
    <mergeCell ref="H410:H412"/>
    <mergeCell ref="I408:I409"/>
    <mergeCell ref="J408:J409"/>
    <mergeCell ref="K408:K409"/>
    <mergeCell ref="A408:A409"/>
    <mergeCell ref="B408:B409"/>
    <mergeCell ref="C408:C409"/>
    <mergeCell ref="D408:D409"/>
    <mergeCell ref="F408:F409"/>
    <mergeCell ref="G408:G409"/>
    <mergeCell ref="H408:H409"/>
    <mergeCell ref="P410:P412"/>
    <mergeCell ref="Q410:Q412"/>
    <mergeCell ref="I410:I412"/>
    <mergeCell ref="J410:J412"/>
    <mergeCell ref="K410:K412"/>
    <mergeCell ref="L410:L412"/>
    <mergeCell ref="M410:M412"/>
    <mergeCell ref="N410:N412"/>
    <mergeCell ref="O410:O412"/>
    <mergeCell ref="P414:P416"/>
    <mergeCell ref="Q414:Q416"/>
    <mergeCell ref="R406:R407"/>
    <mergeCell ref="R410:R412"/>
    <mergeCell ref="I406:I407"/>
    <mergeCell ref="J406:J407"/>
    <mergeCell ref="K406:K407"/>
    <mergeCell ref="L406:L407"/>
    <mergeCell ref="M406:M407"/>
    <mergeCell ref="N406:N407"/>
    <mergeCell ref="O406:O407"/>
    <mergeCell ref="L408:L409"/>
    <mergeCell ref="M408:Q409"/>
    <mergeCell ref="R408:R409"/>
    <mergeCell ref="P406:P407"/>
    <mergeCell ref="Q406:Q407"/>
    <mergeCell ref="R414:R416"/>
    <mergeCell ref="I414:I416"/>
    <mergeCell ref="J414:J416"/>
    <mergeCell ref="K414:K416"/>
    <mergeCell ref="L414:L416"/>
    <mergeCell ref="M414:M416"/>
    <mergeCell ref="N414:N416"/>
    <mergeCell ref="O414:O416"/>
    <mergeCell ref="A414:A416"/>
    <mergeCell ref="B414:B416"/>
    <mergeCell ref="C414:C416"/>
    <mergeCell ref="D414:D416"/>
    <mergeCell ref="F414:F416"/>
    <mergeCell ref="G414:G416"/>
    <mergeCell ref="H414:H416"/>
    <mergeCell ref="P417:P418"/>
    <mergeCell ref="Q417:Q418"/>
    <mergeCell ref="R417:R418"/>
    <mergeCell ref="I417:I418"/>
    <mergeCell ref="J417:J418"/>
    <mergeCell ref="K417:K418"/>
    <mergeCell ref="L417:L418"/>
    <mergeCell ref="M417:M418"/>
    <mergeCell ref="N417:N418"/>
    <mergeCell ref="O417:O418"/>
    <mergeCell ref="A417:A418"/>
    <mergeCell ref="B417:B418"/>
    <mergeCell ref="C417:C418"/>
    <mergeCell ref="D417:D418"/>
    <mergeCell ref="F417:F418"/>
    <mergeCell ref="G417:G418"/>
    <mergeCell ref="H417:H418"/>
    <mergeCell ref="R419:R420"/>
    <mergeCell ref="A419:A420"/>
    <mergeCell ref="B419:B420"/>
    <mergeCell ref="C419:C420"/>
    <mergeCell ref="D419:D420"/>
    <mergeCell ref="F419:F420"/>
    <mergeCell ref="G419:G420"/>
    <mergeCell ref="H419:H420"/>
    <mergeCell ref="I451:I452"/>
    <mergeCell ref="J451:J452"/>
    <mergeCell ref="K451:K452"/>
    <mergeCell ref="L451:L452"/>
    <mergeCell ref="M451:M452"/>
    <mergeCell ref="N451:N452"/>
    <mergeCell ref="O451:O452"/>
    <mergeCell ref="A451:A452"/>
    <mergeCell ref="B451:B452"/>
    <mergeCell ref="C451:C452"/>
    <mergeCell ref="D451:D452"/>
    <mergeCell ref="F451:F452"/>
    <mergeCell ref="G451:G452"/>
    <mergeCell ref="H451:H452"/>
    <mergeCell ref="P440:P444"/>
    <mergeCell ref="Q440:Q444"/>
    <mergeCell ref="I440:I444"/>
    <mergeCell ref="J440:J444"/>
    <mergeCell ref="K440:K444"/>
    <mergeCell ref="L440:L444"/>
    <mergeCell ref="M440:M444"/>
    <mergeCell ref="N440:N444"/>
    <mergeCell ref="O440:O444"/>
    <mergeCell ref="P445:P450"/>
    <mergeCell ref="Q445:Q450"/>
    <mergeCell ref="R445:R450"/>
    <mergeCell ref="I445:I450"/>
    <mergeCell ref="J445:J450"/>
    <mergeCell ref="K445:K450"/>
    <mergeCell ref="L445:L450"/>
    <mergeCell ref="M445:M450"/>
    <mergeCell ref="N445:N450"/>
    <mergeCell ref="O445:O450"/>
    <mergeCell ref="A445:A450"/>
    <mergeCell ref="B445:B450"/>
    <mergeCell ref="C445:C450"/>
    <mergeCell ref="D445:D450"/>
    <mergeCell ref="F445:F450"/>
    <mergeCell ref="G445:G450"/>
    <mergeCell ref="H445:H450"/>
    <mergeCell ref="P451:P452"/>
    <mergeCell ref="Q451:Q452"/>
    <mergeCell ref="R451:R452"/>
    <mergeCell ref="R453:R454"/>
    <mergeCell ref="A453:A454"/>
    <mergeCell ref="B453:B454"/>
    <mergeCell ref="C453:C454"/>
    <mergeCell ref="D453:D454"/>
    <mergeCell ref="F453:F454"/>
    <mergeCell ref="G453:G454"/>
    <mergeCell ref="H453:H454"/>
    <mergeCell ref="I458:I464"/>
    <mergeCell ref="J458:J464"/>
    <mergeCell ref="K458:K464"/>
    <mergeCell ref="L458:L464"/>
    <mergeCell ref="M458:M464"/>
    <mergeCell ref="N458:N464"/>
    <mergeCell ref="O458:O464"/>
    <mergeCell ref="A458:A464"/>
    <mergeCell ref="B458:B464"/>
    <mergeCell ref="C458:C464"/>
    <mergeCell ref="D458:D464"/>
    <mergeCell ref="F458:F464"/>
    <mergeCell ref="G458:G464"/>
    <mergeCell ref="H458:H464"/>
    <mergeCell ref="P453:P454"/>
    <mergeCell ref="Q453:Q454"/>
    <mergeCell ref="I453:I454"/>
    <mergeCell ref="J453:J454"/>
    <mergeCell ref="K453:K454"/>
    <mergeCell ref="L453:L454"/>
    <mergeCell ref="M453:M454"/>
    <mergeCell ref="N453:N454"/>
    <mergeCell ref="O453:O454"/>
    <mergeCell ref="P455:P457"/>
    <mergeCell ref="Q455:Q457"/>
    <mergeCell ref="R455:R457"/>
    <mergeCell ref="I455:I457"/>
    <mergeCell ref="J455:J457"/>
    <mergeCell ref="K455:K457"/>
    <mergeCell ref="L455:L457"/>
    <mergeCell ref="M455:M457"/>
    <mergeCell ref="N455:N457"/>
    <mergeCell ref="O455:O457"/>
    <mergeCell ref="A455:A457"/>
    <mergeCell ref="B455:B457"/>
    <mergeCell ref="C455:C457"/>
    <mergeCell ref="D455:D457"/>
    <mergeCell ref="F455:F457"/>
    <mergeCell ref="G455:G457"/>
    <mergeCell ref="H455:H457"/>
    <mergeCell ref="P458:P464"/>
    <mergeCell ref="Q458:Q464"/>
    <mergeCell ref="R458:R464"/>
    <mergeCell ref="E458:E464"/>
    <mergeCell ref="A466:A467"/>
    <mergeCell ref="B466:B467"/>
    <mergeCell ref="C466:C467"/>
    <mergeCell ref="D466:D467"/>
    <mergeCell ref="F466:F467"/>
    <mergeCell ref="G466:G467"/>
    <mergeCell ref="H466:H467"/>
    <mergeCell ref="P500:P503"/>
    <mergeCell ref="Q500:Q503"/>
    <mergeCell ref="R500:R503"/>
    <mergeCell ref="I500:I503"/>
    <mergeCell ref="J500:J503"/>
    <mergeCell ref="K500:K503"/>
    <mergeCell ref="L500:L503"/>
    <mergeCell ref="M500:M503"/>
    <mergeCell ref="N500:N503"/>
    <mergeCell ref="O500:O503"/>
    <mergeCell ref="A500:A503"/>
    <mergeCell ref="B500:B503"/>
    <mergeCell ref="C500:C503"/>
    <mergeCell ref="D500:D503"/>
    <mergeCell ref="F500:F503"/>
    <mergeCell ref="G500:G503"/>
    <mergeCell ref="H500:H503"/>
    <mergeCell ref="R485:R489"/>
    <mergeCell ref="I485:I489"/>
    <mergeCell ref="J485:J489"/>
    <mergeCell ref="K485:K489"/>
    <mergeCell ref="L485:L489"/>
    <mergeCell ref="M485:M489"/>
    <mergeCell ref="N485:N489"/>
    <mergeCell ref="O485:O489"/>
    <mergeCell ref="B504:B506"/>
    <mergeCell ref="C504:C506"/>
    <mergeCell ref="D504:D506"/>
    <mergeCell ref="F504:F506"/>
    <mergeCell ref="G504:G506"/>
    <mergeCell ref="H504:H506"/>
    <mergeCell ref="A507:A508"/>
    <mergeCell ref="B507:B508"/>
    <mergeCell ref="C507:C508"/>
    <mergeCell ref="D507:D508"/>
    <mergeCell ref="F507:F508"/>
    <mergeCell ref="G507:G508"/>
    <mergeCell ref="H507:H508"/>
    <mergeCell ref="P507:P508"/>
    <mergeCell ref="Q507:Q508"/>
    <mergeCell ref="M509:Q509"/>
    <mergeCell ref="I507:I508"/>
    <mergeCell ref="J507:J508"/>
    <mergeCell ref="K507:K508"/>
    <mergeCell ref="L507:L508"/>
    <mergeCell ref="M507:M508"/>
    <mergeCell ref="N507:N508"/>
    <mergeCell ref="O507:O508"/>
    <mergeCell ref="Q504:Q506"/>
    <mergeCell ref="L504:L506"/>
    <mergeCell ref="M504:M506"/>
    <mergeCell ref="N504:N506"/>
    <mergeCell ref="O504:O506"/>
    <mergeCell ref="A504:A506"/>
    <mergeCell ref="P511:P514"/>
    <mergeCell ref="Q511:Q514"/>
    <mergeCell ref="R511:R514"/>
    <mergeCell ref="K511:K514"/>
    <mergeCell ref="L511:L514"/>
    <mergeCell ref="M511:M514"/>
    <mergeCell ref="N511:N514"/>
    <mergeCell ref="O511:O514"/>
    <mergeCell ref="M515:Q515"/>
    <mergeCell ref="O516:O519"/>
    <mergeCell ref="P516:P519"/>
    <mergeCell ref="Q516:Q519"/>
    <mergeCell ref="R516:R519"/>
    <mergeCell ref="H516:H519"/>
    <mergeCell ref="I516:I519"/>
    <mergeCell ref="J516:J519"/>
    <mergeCell ref="K516:K519"/>
    <mergeCell ref="L516:L519"/>
    <mergeCell ref="M516:M519"/>
    <mergeCell ref="N516:N519"/>
    <mergeCell ref="A516:A519"/>
    <mergeCell ref="B516:B519"/>
    <mergeCell ref="C516:C519"/>
    <mergeCell ref="D516:D519"/>
    <mergeCell ref="F516:F519"/>
    <mergeCell ref="G516:G519"/>
    <mergeCell ref="B536:B539"/>
    <mergeCell ref="C536:C539"/>
    <mergeCell ref="D536:D539"/>
    <mergeCell ref="F536:F539"/>
    <mergeCell ref="G536:G539"/>
    <mergeCell ref="A540:A542"/>
    <mergeCell ref="B540:B542"/>
    <mergeCell ref="C540:C542"/>
    <mergeCell ref="D540:D542"/>
    <mergeCell ref="F540:F542"/>
    <mergeCell ref="G540:G542"/>
    <mergeCell ref="D521:D522"/>
    <mergeCell ref="F521:F522"/>
    <mergeCell ref="G521:G522"/>
    <mergeCell ref="A525:A526"/>
    <mergeCell ref="B525:B526"/>
    <mergeCell ref="C525:C526"/>
    <mergeCell ref="D525:D526"/>
    <mergeCell ref="F525:F526"/>
    <mergeCell ref="G525:G526"/>
    <mergeCell ref="G523:G524"/>
    <mergeCell ref="H521:H522"/>
    <mergeCell ref="A523:A524"/>
    <mergeCell ref="B523:B524"/>
    <mergeCell ref="C523:C524"/>
    <mergeCell ref="D523:D524"/>
    <mergeCell ref="L3:L5"/>
    <mergeCell ref="M3:M5"/>
    <mergeCell ref="K3:K5"/>
    <mergeCell ref="N3:N5"/>
    <mergeCell ref="P3:P5"/>
    <mergeCell ref="O3:O5"/>
    <mergeCell ref="Q3:Q5"/>
    <mergeCell ref="R3:R5"/>
    <mergeCell ref="G143:G146"/>
    <mergeCell ref="H143:H146"/>
    <mergeCell ref="I143:I146"/>
    <mergeCell ref="J143:J146"/>
    <mergeCell ref="E3:E5"/>
    <mergeCell ref="E8:E9"/>
    <mergeCell ref="E12:E13"/>
    <mergeCell ref="E14:E15"/>
    <mergeCell ref="E18:E19"/>
    <mergeCell ref="E21:E26"/>
    <mergeCell ref="E27:E30"/>
    <mergeCell ref="E31:E33"/>
    <mergeCell ref="E34:E36"/>
    <mergeCell ref="E37:E41"/>
    <mergeCell ref="E42:E44"/>
    <mergeCell ref="E45:E47"/>
    <mergeCell ref="E48:E52"/>
    <mergeCell ref="E53:E55"/>
    <mergeCell ref="E57:E65"/>
    <mergeCell ref="E77:E80"/>
    <mergeCell ref="E82:E84"/>
    <mergeCell ref="E85:E88"/>
    <mergeCell ref="E89:E92"/>
    <mergeCell ref="E93:E96"/>
    <mergeCell ref="E97:E99"/>
    <mergeCell ref="E100:E101"/>
    <mergeCell ref="E102:E103"/>
    <mergeCell ref="E104:E105"/>
    <mergeCell ref="E106:E107"/>
    <mergeCell ref="E108:E110"/>
    <mergeCell ref="E111:E113"/>
    <mergeCell ref="E115:E118"/>
    <mergeCell ref="E119:E120"/>
    <mergeCell ref="E121:E122"/>
    <mergeCell ref="E123:E124"/>
    <mergeCell ref="E125:E127"/>
    <mergeCell ref="E128:E130"/>
    <mergeCell ref="E132:E134"/>
    <mergeCell ref="E135:E136"/>
    <mergeCell ref="E139:E140"/>
    <mergeCell ref="E141:E142"/>
    <mergeCell ref="E143:E146"/>
    <mergeCell ref="E150:E151"/>
    <mergeCell ref="E153:E157"/>
    <mergeCell ref="E159:E162"/>
    <mergeCell ref="E165:E166"/>
    <mergeCell ref="E167:E168"/>
    <mergeCell ref="E170:E174"/>
    <mergeCell ref="E175:E178"/>
    <mergeCell ref="E179:E181"/>
    <mergeCell ref="E182:E184"/>
    <mergeCell ref="E186:E191"/>
    <mergeCell ref="E194:E195"/>
    <mergeCell ref="E208:E209"/>
    <mergeCell ref="E211:E213"/>
    <mergeCell ref="E216:E219"/>
    <mergeCell ref="E222:E223"/>
    <mergeCell ref="E224:E225"/>
    <mergeCell ref="E226:E227"/>
    <mergeCell ref="E228:E229"/>
    <mergeCell ref="E230:E231"/>
    <mergeCell ref="E232:E233"/>
    <mergeCell ref="E234:E235"/>
    <mergeCell ref="E236:E237"/>
    <mergeCell ref="E238:E239"/>
    <mergeCell ref="E240:E241"/>
    <mergeCell ref="E242:E243"/>
    <mergeCell ref="E244:E245"/>
    <mergeCell ref="E246:E247"/>
    <mergeCell ref="E248:E249"/>
    <mergeCell ref="E262:E264"/>
    <mergeCell ref="E265:E267"/>
    <mergeCell ref="E268:E269"/>
    <mergeCell ref="E271:E273"/>
    <mergeCell ref="E275:E278"/>
    <mergeCell ref="E279:E280"/>
    <mergeCell ref="E281:E282"/>
    <mergeCell ref="E283:E284"/>
    <mergeCell ref="E286:E287"/>
    <mergeCell ref="E288:E289"/>
    <mergeCell ref="E292:E293"/>
    <mergeCell ref="E297:E300"/>
    <mergeCell ref="E302:E304"/>
    <mergeCell ref="E305:E307"/>
    <mergeCell ref="E308:E310"/>
    <mergeCell ref="E311:E312"/>
    <mergeCell ref="E313:E314"/>
    <mergeCell ref="E316:E318"/>
    <mergeCell ref="E319:E320"/>
    <mergeCell ref="E321:E322"/>
    <mergeCell ref="E323:E328"/>
    <mergeCell ref="E338:E339"/>
    <mergeCell ref="E344:E345"/>
    <mergeCell ref="E358:E359"/>
    <mergeCell ref="E362:E363"/>
    <mergeCell ref="E364:E366"/>
    <mergeCell ref="E367:E369"/>
    <mergeCell ref="E370:E372"/>
    <mergeCell ref="E373:E376"/>
    <mergeCell ref="E378:E379"/>
    <mergeCell ref="E382:E383"/>
    <mergeCell ref="E384:E385"/>
    <mergeCell ref="E386:E387"/>
    <mergeCell ref="E391:E396"/>
    <mergeCell ref="E397:E399"/>
    <mergeCell ref="E400:E403"/>
    <mergeCell ref="E406:E407"/>
    <mergeCell ref="E408:E409"/>
    <mergeCell ref="E410:E412"/>
    <mergeCell ref="E414:E416"/>
    <mergeCell ref="E417:E418"/>
    <mergeCell ref="E419:E420"/>
    <mergeCell ref="E430:E434"/>
    <mergeCell ref="E435:E439"/>
    <mergeCell ref="E440:E444"/>
    <mergeCell ref="E445:E450"/>
    <mergeCell ref="E451:E452"/>
    <mergeCell ref="E453:E454"/>
    <mergeCell ref="E455:E457"/>
    <mergeCell ref="E466:E467"/>
    <mergeCell ref="E469:E471"/>
    <mergeCell ref="E472:E473"/>
    <mergeCell ref="E477:E479"/>
    <mergeCell ref="E480:E481"/>
    <mergeCell ref="E485:E489"/>
    <mergeCell ref="E490:E491"/>
    <mergeCell ref="E492:E495"/>
    <mergeCell ref="E500:E503"/>
    <mergeCell ref="E504:E506"/>
    <mergeCell ref="E507:E508"/>
    <mergeCell ref="E516:E519"/>
    <mergeCell ref="E521:E522"/>
    <mergeCell ref="E523:E524"/>
    <mergeCell ref="E525:E526"/>
    <mergeCell ref="E536:E539"/>
    <mergeCell ref="E540:E542"/>
    <mergeCell ref="E617:E618"/>
    <mergeCell ref="E619:E620"/>
    <mergeCell ref="E627:E629"/>
    <mergeCell ref="G340:G341"/>
    <mergeCell ref="B340:B341"/>
    <mergeCell ref="C340:C341"/>
    <mergeCell ref="D340:D341"/>
    <mergeCell ref="E340:E341"/>
    <mergeCell ref="F340:F341"/>
    <mergeCell ref="H340:H341"/>
    <mergeCell ref="F342:F343"/>
    <mergeCell ref="E342:E343"/>
    <mergeCell ref="D342:D343"/>
    <mergeCell ref="C342:C343"/>
    <mergeCell ref="B342:B343"/>
    <mergeCell ref="E551:E552"/>
    <mergeCell ref="E553:E554"/>
    <mergeCell ref="E555:E556"/>
    <mergeCell ref="E557:E558"/>
    <mergeCell ref="E559:E560"/>
    <mergeCell ref="E567:E569"/>
    <mergeCell ref="E572:E573"/>
    <mergeCell ref="E576:E579"/>
    <mergeCell ref="E581:E583"/>
    <mergeCell ref="E585:E586"/>
    <mergeCell ref="E588:E592"/>
    <mergeCell ref="E594:E595"/>
    <mergeCell ref="E597:E600"/>
    <mergeCell ref="E601:E604"/>
    <mergeCell ref="E605:E608"/>
    <mergeCell ref="E609:E612"/>
    <mergeCell ref="E613:E616"/>
  </mergeCells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19" sqref="F19"/>
    </sheetView>
  </sheetViews>
  <sheetFormatPr defaultColWidth="14.453125" defaultRowHeight="15" customHeight="1"/>
  <cols>
    <col min="1" max="1" width="8.54296875" customWidth="1"/>
    <col min="2" max="2" width="17.26953125" customWidth="1"/>
    <col min="3" max="3" width="27" customWidth="1"/>
    <col min="4" max="5" width="8.7265625" customWidth="1"/>
    <col min="6" max="6" width="17.6328125" customWidth="1"/>
    <col min="7" max="7" width="17.54296875" customWidth="1"/>
    <col min="8" max="26" width="8.7265625" customWidth="1"/>
  </cols>
  <sheetData>
    <row r="1" spans="1:7" ht="14.25" customHeight="1">
      <c r="A1" s="59" t="s">
        <v>369</v>
      </c>
      <c r="B1" s="2" t="s">
        <v>1</v>
      </c>
      <c r="C1" s="2" t="s">
        <v>0</v>
      </c>
      <c r="E1" s="59" t="s">
        <v>369</v>
      </c>
      <c r="F1" s="2" t="s">
        <v>1</v>
      </c>
      <c r="G1" s="2" t="s">
        <v>0</v>
      </c>
    </row>
    <row r="2" spans="1:7" ht="14.25" customHeight="1">
      <c r="A2" s="10">
        <v>1</v>
      </c>
      <c r="B2" s="46" t="s">
        <v>15</v>
      </c>
      <c r="C2" s="10" t="s">
        <v>370</v>
      </c>
      <c r="E2" s="10">
        <v>1</v>
      </c>
      <c r="F2" s="10" t="s">
        <v>394</v>
      </c>
      <c r="G2" s="74" t="s">
        <v>16</v>
      </c>
    </row>
    <row r="3" spans="1:7" ht="14.25" customHeight="1">
      <c r="A3" s="10">
        <f t="shared" ref="A3:A53" si="0">SUM(A2+1)</f>
        <v>2</v>
      </c>
      <c r="B3" s="46" t="s">
        <v>20</v>
      </c>
      <c r="C3" s="10" t="s">
        <v>19</v>
      </c>
      <c r="E3" s="10">
        <f t="shared" ref="E3:E15" si="1">SUM(E2+1)</f>
        <v>2</v>
      </c>
      <c r="F3" s="10" t="s">
        <v>395</v>
      </c>
      <c r="G3" s="74" t="s">
        <v>25</v>
      </c>
    </row>
    <row r="4" spans="1:7" ht="14.25" customHeight="1">
      <c r="A4" s="10">
        <f t="shared" si="0"/>
        <v>3</v>
      </c>
      <c r="B4" s="46" t="s">
        <v>66</v>
      </c>
      <c r="C4" s="10" t="s">
        <v>65</v>
      </c>
      <c r="E4" s="10">
        <f t="shared" si="1"/>
        <v>3</v>
      </c>
      <c r="F4" s="10" t="s">
        <v>396</v>
      </c>
      <c r="G4" s="74" t="s">
        <v>38</v>
      </c>
    </row>
    <row r="5" spans="1:7" ht="14.25" customHeight="1">
      <c r="A5" s="10">
        <f t="shared" si="0"/>
        <v>4</v>
      </c>
      <c r="B5" s="46" t="s">
        <v>32</v>
      </c>
      <c r="C5" s="10" t="s">
        <v>371</v>
      </c>
      <c r="E5" s="10">
        <f t="shared" si="1"/>
        <v>4</v>
      </c>
      <c r="F5" s="10" t="s">
        <v>397</v>
      </c>
      <c r="G5" s="74" t="s">
        <v>144</v>
      </c>
    </row>
    <row r="6" spans="1:7" ht="14.25" customHeight="1">
      <c r="A6" s="10">
        <f t="shared" si="0"/>
        <v>5</v>
      </c>
      <c r="B6" s="46" t="s">
        <v>121</v>
      </c>
      <c r="C6" s="10" t="s">
        <v>372</v>
      </c>
      <c r="E6" s="10">
        <f t="shared" si="1"/>
        <v>5</v>
      </c>
      <c r="F6" s="10" t="s">
        <v>398</v>
      </c>
      <c r="G6" s="74" t="s">
        <v>58</v>
      </c>
    </row>
    <row r="7" spans="1:7" ht="14.25" customHeight="1">
      <c r="A7" s="10">
        <f t="shared" si="0"/>
        <v>6</v>
      </c>
      <c r="B7" s="46" t="s">
        <v>28</v>
      </c>
      <c r="C7" s="10" t="s">
        <v>373</v>
      </c>
      <c r="E7" s="10">
        <f t="shared" si="1"/>
        <v>6</v>
      </c>
      <c r="F7" s="10" t="s">
        <v>399</v>
      </c>
      <c r="G7" s="74" t="s">
        <v>71</v>
      </c>
    </row>
    <row r="8" spans="1:7" ht="14.25" customHeight="1">
      <c r="A8" s="10">
        <f t="shared" si="0"/>
        <v>7</v>
      </c>
      <c r="B8" s="46" t="s">
        <v>104</v>
      </c>
      <c r="C8" s="10" t="s">
        <v>374</v>
      </c>
      <c r="E8" s="10">
        <f t="shared" si="1"/>
        <v>7</v>
      </c>
      <c r="F8" s="10" t="s">
        <v>400</v>
      </c>
      <c r="G8" s="74" t="s">
        <v>81</v>
      </c>
    </row>
    <row r="9" spans="1:7" ht="14.25" customHeight="1">
      <c r="A9" s="10">
        <f t="shared" si="0"/>
        <v>8</v>
      </c>
      <c r="B9" s="46" t="s">
        <v>47</v>
      </c>
      <c r="C9" s="10" t="s">
        <v>46</v>
      </c>
      <c r="E9" s="10">
        <f t="shared" si="1"/>
        <v>8</v>
      </c>
      <c r="F9" s="10" t="s">
        <v>401</v>
      </c>
      <c r="G9" s="74" t="s">
        <v>408</v>
      </c>
    </row>
    <row r="10" spans="1:7" ht="14.25" customHeight="1">
      <c r="A10" s="10">
        <f t="shared" si="0"/>
        <v>9</v>
      </c>
      <c r="B10" s="46" t="s">
        <v>80</v>
      </c>
      <c r="C10" s="10" t="s">
        <v>76</v>
      </c>
      <c r="E10" s="10">
        <f t="shared" si="1"/>
        <v>9</v>
      </c>
      <c r="F10" s="10" t="s">
        <v>402</v>
      </c>
      <c r="G10" s="10" t="s">
        <v>239</v>
      </c>
    </row>
    <row r="11" spans="1:7" ht="14.25" customHeight="1">
      <c r="A11" s="10">
        <f t="shared" si="0"/>
        <v>10</v>
      </c>
      <c r="B11" s="46" t="s">
        <v>86</v>
      </c>
      <c r="C11" s="10" t="s">
        <v>375</v>
      </c>
      <c r="E11" s="10">
        <f t="shared" si="1"/>
        <v>10</v>
      </c>
      <c r="F11" s="10" t="s">
        <v>403</v>
      </c>
      <c r="G11" s="74" t="s">
        <v>93</v>
      </c>
    </row>
    <row r="12" spans="1:7" ht="14.25" customHeight="1">
      <c r="A12" s="10">
        <f t="shared" si="0"/>
        <v>11</v>
      </c>
      <c r="B12" s="46" t="s">
        <v>90</v>
      </c>
      <c r="C12" s="10" t="s">
        <v>89</v>
      </c>
      <c r="E12" s="10">
        <f t="shared" si="1"/>
        <v>11</v>
      </c>
      <c r="F12" s="10" t="s">
        <v>404</v>
      </c>
      <c r="G12" s="74" t="s">
        <v>106</v>
      </c>
    </row>
    <row r="13" spans="1:7" ht="14.25" customHeight="1">
      <c r="A13" s="10">
        <f t="shared" si="0"/>
        <v>12</v>
      </c>
      <c r="B13" s="46" t="s">
        <v>92</v>
      </c>
      <c r="C13" s="10" t="s">
        <v>376</v>
      </c>
      <c r="E13" s="10">
        <f t="shared" si="1"/>
        <v>12</v>
      </c>
      <c r="F13" s="10" t="s">
        <v>405</v>
      </c>
      <c r="G13" s="74" t="s">
        <v>178</v>
      </c>
    </row>
    <row r="14" spans="1:7" ht="14.25" customHeight="1">
      <c r="A14" s="10">
        <f t="shared" si="0"/>
        <v>13</v>
      </c>
      <c r="B14" s="46" t="s">
        <v>99</v>
      </c>
      <c r="C14" s="10" t="s">
        <v>98</v>
      </c>
      <c r="E14" s="27">
        <f t="shared" si="1"/>
        <v>13</v>
      </c>
      <c r="F14" s="27" t="s">
        <v>406</v>
      </c>
      <c r="G14" s="75" t="s">
        <v>409</v>
      </c>
    </row>
    <row r="15" spans="1:7" ht="14.25" customHeight="1">
      <c r="A15" s="10">
        <f t="shared" si="0"/>
        <v>14</v>
      </c>
      <c r="B15" s="46" t="s">
        <v>111</v>
      </c>
      <c r="C15" s="10" t="s">
        <v>110</v>
      </c>
      <c r="E15" s="66">
        <f t="shared" si="1"/>
        <v>14</v>
      </c>
      <c r="F15" s="66" t="s">
        <v>407</v>
      </c>
      <c r="G15" s="66" t="s">
        <v>335</v>
      </c>
    </row>
    <row r="16" spans="1:7" ht="14.25" customHeight="1">
      <c r="A16" s="10">
        <f t="shared" si="0"/>
        <v>15</v>
      </c>
      <c r="B16" s="46" t="s">
        <v>114</v>
      </c>
      <c r="C16" s="10" t="s">
        <v>113</v>
      </c>
      <c r="E16" s="61"/>
      <c r="F16" s="61"/>
      <c r="G16" s="61"/>
    </row>
    <row r="17" spans="1:3" ht="14.25" customHeight="1">
      <c r="A17" s="10">
        <f t="shared" si="0"/>
        <v>16</v>
      </c>
      <c r="B17" s="46" t="s">
        <v>124</v>
      </c>
      <c r="C17" s="10" t="s">
        <v>123</v>
      </c>
    </row>
    <row r="18" spans="1:3" ht="14.25" customHeight="1">
      <c r="A18" s="10">
        <f t="shared" si="0"/>
        <v>17</v>
      </c>
      <c r="B18" s="46" t="s">
        <v>128</v>
      </c>
      <c r="C18" s="10" t="s">
        <v>127</v>
      </c>
    </row>
    <row r="19" spans="1:3" ht="14.25" customHeight="1">
      <c r="A19" s="10">
        <f t="shared" si="0"/>
        <v>18</v>
      </c>
      <c r="B19" s="46" t="s">
        <v>132</v>
      </c>
      <c r="C19" s="10" t="s">
        <v>131</v>
      </c>
    </row>
    <row r="20" spans="1:3" ht="14.25" customHeight="1">
      <c r="A20" s="10">
        <f t="shared" si="0"/>
        <v>19</v>
      </c>
      <c r="B20" s="46" t="s">
        <v>136</v>
      </c>
      <c r="C20" s="10" t="s">
        <v>135</v>
      </c>
    </row>
    <row r="21" spans="1:3" ht="14.25" customHeight="1">
      <c r="A21" s="10">
        <f t="shared" si="0"/>
        <v>20</v>
      </c>
      <c r="B21" s="46" t="s">
        <v>139</v>
      </c>
      <c r="C21" s="10" t="s">
        <v>138</v>
      </c>
    </row>
    <row r="22" spans="1:3" ht="14.25" customHeight="1">
      <c r="A22" s="10">
        <f t="shared" si="0"/>
        <v>21</v>
      </c>
      <c r="B22" s="46" t="s">
        <v>151</v>
      </c>
      <c r="C22" s="10" t="s">
        <v>150</v>
      </c>
    </row>
    <row r="23" spans="1:3" ht="14.25" customHeight="1">
      <c r="A23" s="10">
        <f t="shared" si="0"/>
        <v>22</v>
      </c>
      <c r="B23" s="46" t="s">
        <v>153</v>
      </c>
      <c r="C23" s="10" t="s">
        <v>152</v>
      </c>
    </row>
    <row r="24" spans="1:3" ht="14.25" customHeight="1">
      <c r="A24" s="10">
        <f t="shared" si="0"/>
        <v>23</v>
      </c>
      <c r="B24" s="46" t="s">
        <v>96</v>
      </c>
      <c r="C24" s="10" t="s">
        <v>95</v>
      </c>
    </row>
    <row r="25" spans="1:3" ht="14.25" customHeight="1">
      <c r="A25" s="10">
        <f t="shared" si="0"/>
        <v>24</v>
      </c>
      <c r="B25" s="46" t="s">
        <v>161</v>
      </c>
      <c r="C25" s="10" t="s">
        <v>377</v>
      </c>
    </row>
    <row r="26" spans="1:3" ht="14.25" customHeight="1">
      <c r="A26" s="10">
        <f t="shared" si="0"/>
        <v>25</v>
      </c>
      <c r="B26" s="46" t="s">
        <v>167</v>
      </c>
      <c r="C26" s="10" t="s">
        <v>168</v>
      </c>
    </row>
    <row r="27" spans="1:3" ht="14.25" customHeight="1">
      <c r="A27" s="10">
        <f t="shared" si="0"/>
        <v>26</v>
      </c>
      <c r="B27" s="46" t="s">
        <v>171</v>
      </c>
      <c r="C27" s="10" t="s">
        <v>170</v>
      </c>
    </row>
    <row r="28" spans="1:3" ht="14.25" customHeight="1">
      <c r="A28" s="10">
        <f t="shared" si="0"/>
        <v>27</v>
      </c>
      <c r="B28" s="46" t="s">
        <v>174</v>
      </c>
      <c r="C28" s="10" t="s">
        <v>173</v>
      </c>
    </row>
    <row r="29" spans="1:3" ht="14.25" customHeight="1">
      <c r="A29" s="10">
        <f t="shared" si="0"/>
        <v>28</v>
      </c>
      <c r="B29" s="46" t="s">
        <v>177</v>
      </c>
      <c r="C29" s="10" t="s">
        <v>176</v>
      </c>
    </row>
    <row r="30" spans="1:3" ht="14.25" customHeight="1">
      <c r="A30" s="10">
        <f t="shared" si="0"/>
        <v>29</v>
      </c>
      <c r="B30" s="46" t="s">
        <v>182</v>
      </c>
      <c r="C30" s="10" t="s">
        <v>181</v>
      </c>
    </row>
    <row r="31" spans="1:3" ht="14.25" customHeight="1">
      <c r="A31" s="10">
        <f t="shared" si="0"/>
        <v>30</v>
      </c>
      <c r="B31" s="46" t="s">
        <v>199</v>
      </c>
      <c r="C31" s="10" t="s">
        <v>198</v>
      </c>
    </row>
    <row r="32" spans="1:3" ht="14.25" customHeight="1">
      <c r="A32" s="10">
        <f t="shared" si="0"/>
        <v>31</v>
      </c>
      <c r="B32" s="46" t="s">
        <v>214</v>
      </c>
      <c r="C32" s="10" t="s">
        <v>213</v>
      </c>
    </row>
    <row r="33" spans="1:3" ht="14.25" customHeight="1">
      <c r="A33" s="10">
        <f t="shared" si="0"/>
        <v>32</v>
      </c>
      <c r="B33" s="46" t="s">
        <v>216</v>
      </c>
      <c r="C33" s="10" t="s">
        <v>109</v>
      </c>
    </row>
    <row r="34" spans="1:3" ht="14.25" customHeight="1">
      <c r="A34" s="10">
        <f t="shared" si="0"/>
        <v>33</v>
      </c>
      <c r="B34" s="46" t="s">
        <v>224</v>
      </c>
      <c r="C34" s="10" t="s">
        <v>378</v>
      </c>
    </row>
    <row r="35" spans="1:3" ht="14.25" customHeight="1">
      <c r="A35" s="10">
        <f t="shared" si="0"/>
        <v>34</v>
      </c>
      <c r="B35" s="46" t="s">
        <v>226</v>
      </c>
      <c r="C35" s="10" t="s">
        <v>225</v>
      </c>
    </row>
    <row r="36" spans="1:3" ht="14.25" customHeight="1">
      <c r="A36" s="10">
        <f t="shared" si="0"/>
        <v>35</v>
      </c>
      <c r="B36" s="46" t="s">
        <v>234</v>
      </c>
      <c r="C36" s="10" t="s">
        <v>233</v>
      </c>
    </row>
    <row r="37" spans="1:3" ht="14.25" customHeight="1">
      <c r="A37" s="10">
        <f t="shared" si="0"/>
        <v>36</v>
      </c>
      <c r="B37" s="46" t="s">
        <v>238</v>
      </c>
      <c r="C37" s="10" t="s">
        <v>237</v>
      </c>
    </row>
    <row r="38" spans="1:3" ht="14.25" customHeight="1">
      <c r="A38" s="10">
        <f t="shared" si="0"/>
        <v>37</v>
      </c>
      <c r="B38" s="46" t="s">
        <v>242</v>
      </c>
      <c r="C38" s="10" t="s">
        <v>241</v>
      </c>
    </row>
    <row r="39" spans="1:3" ht="14.25" customHeight="1">
      <c r="A39" s="10">
        <f t="shared" si="0"/>
        <v>38</v>
      </c>
      <c r="B39" s="46" t="s">
        <v>256</v>
      </c>
      <c r="C39" s="10" t="s">
        <v>255</v>
      </c>
    </row>
    <row r="40" spans="1:3" ht="14.25" customHeight="1">
      <c r="A40" s="10">
        <f t="shared" si="0"/>
        <v>39</v>
      </c>
      <c r="B40" s="46" t="s">
        <v>262</v>
      </c>
      <c r="C40" s="10" t="s">
        <v>261</v>
      </c>
    </row>
    <row r="41" spans="1:3" ht="14.25" customHeight="1">
      <c r="A41" s="10">
        <f t="shared" si="0"/>
        <v>40</v>
      </c>
      <c r="B41" s="46" t="s">
        <v>264</v>
      </c>
      <c r="C41" s="10" t="s">
        <v>263</v>
      </c>
    </row>
    <row r="42" spans="1:3" ht="14.25" customHeight="1">
      <c r="A42" s="10">
        <f t="shared" si="0"/>
        <v>41</v>
      </c>
      <c r="B42" s="46" t="s">
        <v>267</v>
      </c>
      <c r="C42" s="10" t="s">
        <v>74</v>
      </c>
    </row>
    <row r="43" spans="1:3" ht="14.25" customHeight="1">
      <c r="A43" s="10">
        <f t="shared" si="0"/>
        <v>42</v>
      </c>
      <c r="B43" s="46" t="s">
        <v>290</v>
      </c>
      <c r="C43" s="10" t="s">
        <v>289</v>
      </c>
    </row>
    <row r="44" spans="1:3" ht="14.25" customHeight="1">
      <c r="A44" s="10">
        <f t="shared" si="0"/>
        <v>43</v>
      </c>
      <c r="B44" s="46" t="s">
        <v>308</v>
      </c>
      <c r="C44" s="10" t="s">
        <v>307</v>
      </c>
    </row>
    <row r="45" spans="1:3" ht="14.25" customHeight="1">
      <c r="A45" s="10">
        <f t="shared" si="0"/>
        <v>44</v>
      </c>
      <c r="B45" s="46" t="s">
        <v>317</v>
      </c>
      <c r="C45" s="10" t="s">
        <v>316</v>
      </c>
    </row>
    <row r="46" spans="1:3" ht="14.25" customHeight="1">
      <c r="A46" s="10">
        <f t="shared" si="0"/>
        <v>45</v>
      </c>
      <c r="B46" s="46" t="s">
        <v>325</v>
      </c>
      <c r="C46" s="10" t="s">
        <v>324</v>
      </c>
    </row>
    <row r="47" spans="1:3" ht="14.25" customHeight="1">
      <c r="A47" s="10">
        <f t="shared" si="0"/>
        <v>46</v>
      </c>
      <c r="B47" s="46" t="s">
        <v>341</v>
      </c>
      <c r="C47" s="10" t="s">
        <v>391</v>
      </c>
    </row>
    <row r="48" spans="1:3" ht="14.25" customHeight="1">
      <c r="A48" s="10">
        <f t="shared" si="0"/>
        <v>47</v>
      </c>
      <c r="B48" s="46" t="s">
        <v>345</v>
      </c>
      <c r="C48" s="10" t="s">
        <v>344</v>
      </c>
    </row>
    <row r="49" spans="1:3" ht="14.25" customHeight="1">
      <c r="A49" s="10">
        <f t="shared" si="0"/>
        <v>48</v>
      </c>
      <c r="B49" s="46" t="s">
        <v>348</v>
      </c>
      <c r="C49" s="10" t="s">
        <v>347</v>
      </c>
    </row>
    <row r="50" spans="1:3" ht="14.25" customHeight="1">
      <c r="A50" s="10">
        <f t="shared" si="0"/>
        <v>49</v>
      </c>
      <c r="B50" s="46" t="s">
        <v>354</v>
      </c>
      <c r="C50" s="10" t="s">
        <v>98</v>
      </c>
    </row>
    <row r="51" spans="1:3" ht="14.25" customHeight="1">
      <c r="A51" s="27">
        <f t="shared" si="0"/>
        <v>50</v>
      </c>
      <c r="B51" s="60" t="s">
        <v>356</v>
      </c>
      <c r="C51" s="27" t="s">
        <v>355</v>
      </c>
    </row>
    <row r="52" spans="1:3" ht="14.25" customHeight="1">
      <c r="A52" s="66">
        <f t="shared" si="0"/>
        <v>51</v>
      </c>
      <c r="B52" s="67" t="s">
        <v>367</v>
      </c>
      <c r="C52" s="66" t="s">
        <v>366</v>
      </c>
    </row>
    <row r="53" spans="1:3" ht="14.25" customHeight="1">
      <c r="A53" s="66">
        <f t="shared" si="0"/>
        <v>52</v>
      </c>
      <c r="B53" s="67" t="s">
        <v>392</v>
      </c>
      <c r="C53" s="66" t="s">
        <v>266</v>
      </c>
    </row>
    <row r="54" spans="1:3" ht="14.25" customHeight="1">
      <c r="A54" s="61"/>
      <c r="B54" s="62"/>
      <c r="C54" s="61"/>
    </row>
    <row r="55" spans="1:3" ht="14.25" customHeight="1">
      <c r="A55" s="61"/>
      <c r="B55" s="62"/>
      <c r="C55" s="61"/>
    </row>
    <row r="56" spans="1:3" ht="14.25" customHeight="1">
      <c r="A56" s="61"/>
      <c r="B56" s="62"/>
      <c r="C56" s="61"/>
    </row>
    <row r="57" spans="1:3" ht="14.25" customHeight="1">
      <c r="A57" s="61"/>
      <c r="B57" s="62"/>
      <c r="C57" s="61"/>
    </row>
    <row r="58" spans="1:3" ht="14.25" customHeight="1">
      <c r="A58" s="61"/>
      <c r="B58" s="62"/>
      <c r="C58" s="61"/>
    </row>
    <row r="59" spans="1:3" ht="14.25" customHeight="1">
      <c r="A59" s="61"/>
      <c r="B59" s="62"/>
      <c r="C59" s="61"/>
    </row>
    <row r="60" spans="1:3" ht="14.25" customHeight="1">
      <c r="A60" s="61"/>
      <c r="B60" s="62"/>
      <c r="C60" s="61"/>
    </row>
    <row r="61" spans="1:3" ht="14.25" customHeight="1">
      <c r="A61" s="61"/>
      <c r="B61" s="62"/>
      <c r="C61" s="61"/>
    </row>
    <row r="62" spans="1:3" ht="14.25" customHeight="1">
      <c r="A62" s="61"/>
      <c r="B62" s="63"/>
      <c r="C62" s="61"/>
    </row>
    <row r="63" spans="1:3" ht="14.25" customHeight="1">
      <c r="A63" s="61"/>
      <c r="B63" s="63"/>
      <c r="C63" s="61"/>
    </row>
    <row r="64" spans="1:3" ht="14.25" customHeight="1">
      <c r="A64" s="61"/>
      <c r="B64" s="63"/>
      <c r="C64" s="61"/>
    </row>
    <row r="65" spans="1:3" ht="14.25" customHeight="1">
      <c r="A65" s="61"/>
      <c r="B65" s="63"/>
      <c r="C65" s="61"/>
    </row>
    <row r="66" spans="1:3" ht="14.25" customHeight="1">
      <c r="A66" s="61"/>
      <c r="B66" s="63"/>
      <c r="C66" s="61"/>
    </row>
    <row r="67" spans="1:3" ht="14.25" customHeight="1">
      <c r="A67" s="61"/>
      <c r="B67" s="63"/>
      <c r="C67" s="61"/>
    </row>
    <row r="68" spans="1:3" ht="14.25" customHeight="1">
      <c r="A68" s="61"/>
      <c r="B68" s="63"/>
      <c r="C68" s="61"/>
    </row>
    <row r="69" spans="1:3" ht="14.25" customHeight="1">
      <c r="A69" s="61"/>
      <c r="B69" s="63"/>
      <c r="C69" s="61"/>
    </row>
    <row r="70" spans="1:3" ht="14.25" customHeight="1">
      <c r="A70" s="61"/>
      <c r="B70" s="63"/>
      <c r="C70" s="61"/>
    </row>
    <row r="71" spans="1:3" ht="14.25" customHeight="1">
      <c r="A71" s="61"/>
      <c r="B71" s="63"/>
      <c r="C71" s="61"/>
    </row>
    <row r="72" spans="1:3" ht="14.25" customHeight="1">
      <c r="A72" s="61"/>
      <c r="B72" s="63"/>
      <c r="C72" s="61"/>
    </row>
    <row r="73" spans="1:3" ht="14.25" customHeight="1">
      <c r="A73" s="61"/>
      <c r="B73" s="63"/>
      <c r="C73" s="61"/>
    </row>
    <row r="74" spans="1:3" ht="14.25" customHeight="1">
      <c r="A74" s="61"/>
      <c r="B74" s="63"/>
      <c r="C74" s="61"/>
    </row>
    <row r="75" spans="1:3" ht="14.25" customHeight="1">
      <c r="A75" s="61"/>
      <c r="B75" s="63"/>
      <c r="C75" s="61"/>
    </row>
    <row r="76" spans="1:3" ht="14.25" customHeight="1">
      <c r="A76" s="61"/>
      <c r="B76" s="63"/>
      <c r="C76" s="61"/>
    </row>
    <row r="77" spans="1:3" ht="14.25" customHeight="1">
      <c r="A77" s="61"/>
      <c r="B77" s="63"/>
      <c r="C77" s="61"/>
    </row>
    <row r="78" spans="1:3" ht="14.25" customHeight="1">
      <c r="A78" s="61"/>
      <c r="B78" s="63"/>
      <c r="C78" s="61"/>
    </row>
    <row r="79" spans="1:3" ht="14.25" customHeight="1">
      <c r="A79" s="61"/>
      <c r="B79" s="63"/>
      <c r="C79" s="61"/>
    </row>
    <row r="80" spans="1:3" ht="14.25" customHeight="1">
      <c r="A80" s="61"/>
      <c r="B80" s="63"/>
      <c r="C80" s="61"/>
    </row>
    <row r="81" spans="1:3" ht="14.25" customHeight="1">
      <c r="A81" s="61"/>
      <c r="B81" s="63"/>
      <c r="C81" s="61"/>
    </row>
    <row r="82" spans="1:3" ht="14.25" customHeight="1">
      <c r="A82" s="61"/>
      <c r="B82" s="63"/>
      <c r="C82" s="61"/>
    </row>
    <row r="83" spans="1:3" ht="14.25" customHeight="1">
      <c r="A83" s="61"/>
      <c r="B83" s="63"/>
      <c r="C83" s="61"/>
    </row>
    <row r="84" spans="1:3" ht="14.25" customHeight="1">
      <c r="A84" s="61"/>
      <c r="B84" s="63"/>
      <c r="C84" s="61"/>
    </row>
    <row r="85" spans="1:3" ht="14.25" customHeight="1">
      <c r="A85" s="61"/>
      <c r="B85" s="63"/>
      <c r="C85" s="61"/>
    </row>
    <row r="86" spans="1:3" ht="14.25" customHeight="1">
      <c r="A86" s="61"/>
      <c r="B86" s="63"/>
      <c r="C86" s="61"/>
    </row>
    <row r="87" spans="1:3" ht="14.25" customHeight="1">
      <c r="A87" s="61"/>
      <c r="B87" s="63"/>
      <c r="C87" s="61"/>
    </row>
    <row r="88" spans="1:3" ht="14.25" customHeight="1">
      <c r="A88" s="61"/>
      <c r="B88" s="63"/>
      <c r="C88" s="61"/>
    </row>
    <row r="89" spans="1:3" ht="14.25" customHeight="1">
      <c r="A89" s="61"/>
      <c r="B89" s="63"/>
      <c r="C89" s="61"/>
    </row>
    <row r="90" spans="1:3" ht="14.25" customHeight="1">
      <c r="A90" s="61"/>
      <c r="B90" s="63"/>
      <c r="C90" s="61"/>
    </row>
    <row r="91" spans="1:3" ht="14.25" customHeight="1">
      <c r="A91" s="61"/>
      <c r="B91" s="63"/>
      <c r="C91" s="61"/>
    </row>
    <row r="92" spans="1:3" ht="14.25" customHeight="1">
      <c r="A92" s="61"/>
      <c r="B92" s="63"/>
      <c r="C92" s="61"/>
    </row>
    <row r="93" spans="1:3" ht="14.25" customHeight="1">
      <c r="A93" s="61"/>
      <c r="B93" s="63"/>
      <c r="C93" s="61"/>
    </row>
    <row r="94" spans="1:3" ht="14.25" customHeight="1">
      <c r="A94" s="61"/>
      <c r="B94" s="63"/>
      <c r="C94" s="61"/>
    </row>
    <row r="95" spans="1:3" ht="14.25" customHeight="1">
      <c r="A95" s="61"/>
      <c r="B95" s="63"/>
      <c r="C95" s="61"/>
    </row>
    <row r="96" spans="1:3" ht="14.25" customHeight="1">
      <c r="A96" s="61"/>
      <c r="B96" s="63"/>
      <c r="C96" s="61"/>
    </row>
    <row r="97" spans="1:3" ht="14.25" customHeight="1">
      <c r="A97" s="61"/>
      <c r="B97" s="63"/>
      <c r="C97" s="61"/>
    </row>
    <row r="98" spans="1:3" ht="14.25" customHeight="1">
      <c r="A98" s="61"/>
      <c r="B98" s="63"/>
      <c r="C98" s="61"/>
    </row>
    <row r="99" spans="1:3" ht="14.25" customHeight="1">
      <c r="A99" s="61"/>
      <c r="B99" s="63"/>
      <c r="C99" s="61"/>
    </row>
    <row r="100" spans="1:3" ht="14.25" customHeight="1">
      <c r="A100" s="61"/>
      <c r="B100" s="63"/>
      <c r="C100" s="61"/>
    </row>
    <row r="101" spans="1:3" ht="14.25" customHeight="1">
      <c r="A101" s="61"/>
      <c r="B101" s="63"/>
      <c r="C101" s="61"/>
    </row>
    <row r="102" spans="1:3" ht="14.25" customHeight="1">
      <c r="A102" s="61"/>
      <c r="B102" s="63"/>
      <c r="C102" s="61"/>
    </row>
    <row r="103" spans="1:3" ht="14.25" customHeight="1">
      <c r="A103" s="61"/>
      <c r="B103" s="63"/>
      <c r="C103" s="61"/>
    </row>
    <row r="104" spans="1:3" ht="14.25" customHeight="1">
      <c r="A104" s="61"/>
      <c r="B104" s="63"/>
      <c r="C104" s="61"/>
    </row>
    <row r="105" spans="1:3" ht="14.25" customHeight="1">
      <c r="A105" s="61"/>
      <c r="B105" s="63"/>
      <c r="C105" s="61"/>
    </row>
    <row r="106" spans="1:3" ht="14.25" customHeight="1">
      <c r="A106" s="61"/>
      <c r="B106" s="63"/>
      <c r="C106" s="61"/>
    </row>
    <row r="107" spans="1:3" ht="14.25" customHeight="1">
      <c r="A107" s="61"/>
      <c r="B107" s="63"/>
      <c r="C107" s="61"/>
    </row>
    <row r="108" spans="1:3" ht="14.25" customHeight="1">
      <c r="A108" s="61"/>
      <c r="B108" s="63"/>
      <c r="C108" s="61"/>
    </row>
    <row r="109" spans="1:3" ht="14.25" customHeight="1">
      <c r="A109" s="61"/>
      <c r="B109" s="63"/>
      <c r="C109" s="61"/>
    </row>
    <row r="110" spans="1:3" ht="14.25" customHeight="1">
      <c r="A110" s="61"/>
      <c r="B110" s="63"/>
      <c r="C110" s="61"/>
    </row>
    <row r="111" spans="1:3" ht="14.25" customHeight="1">
      <c r="A111" s="61"/>
      <c r="B111" s="63"/>
      <c r="C111" s="61"/>
    </row>
    <row r="112" spans="1:3" ht="14.25" customHeight="1">
      <c r="A112" s="61"/>
      <c r="B112" s="63"/>
      <c r="C112" s="61"/>
    </row>
    <row r="113" spans="1:3" ht="14.25" customHeight="1">
      <c r="A113" s="61"/>
      <c r="B113" s="63"/>
      <c r="C113" s="61"/>
    </row>
    <row r="114" spans="1:3" ht="14.25" customHeight="1">
      <c r="A114" s="61"/>
      <c r="B114" s="63"/>
      <c r="C114" s="61"/>
    </row>
    <row r="115" spans="1:3" ht="14.25" customHeight="1">
      <c r="A115" s="61"/>
      <c r="B115" s="63"/>
      <c r="C115" s="61"/>
    </row>
    <row r="116" spans="1:3" ht="14.25" customHeight="1">
      <c r="A116" s="61"/>
      <c r="B116" s="63"/>
      <c r="C116" s="61"/>
    </row>
    <row r="117" spans="1:3" ht="14.25" customHeight="1">
      <c r="A117" s="61"/>
      <c r="B117" s="63"/>
      <c r="C117" s="61"/>
    </row>
    <row r="118" spans="1:3" ht="14.25" customHeight="1">
      <c r="A118" s="61"/>
      <c r="B118" s="63"/>
      <c r="C118" s="61"/>
    </row>
    <row r="119" spans="1:3" ht="14.25" customHeight="1">
      <c r="A119" s="61"/>
      <c r="B119" s="63"/>
      <c r="C119" s="61"/>
    </row>
    <row r="120" spans="1:3" ht="14.25" customHeight="1">
      <c r="A120" s="61"/>
      <c r="B120" s="63"/>
      <c r="C120" s="61"/>
    </row>
    <row r="121" spans="1:3" ht="14.25" customHeight="1">
      <c r="A121" s="61"/>
      <c r="B121" s="63"/>
      <c r="C121" s="61"/>
    </row>
    <row r="122" spans="1:3" ht="14.25" customHeight="1">
      <c r="A122" s="61"/>
      <c r="B122" s="63"/>
      <c r="C122" s="61"/>
    </row>
    <row r="123" spans="1:3" ht="14.25" customHeight="1">
      <c r="A123" s="61"/>
      <c r="B123" s="63"/>
      <c r="C123" s="61"/>
    </row>
    <row r="124" spans="1:3" ht="14.25" customHeight="1">
      <c r="A124" s="61"/>
      <c r="B124" s="63"/>
      <c r="C124" s="61"/>
    </row>
    <row r="125" spans="1:3" ht="14.25" customHeight="1">
      <c r="A125" s="61"/>
      <c r="B125" s="63"/>
      <c r="C125" s="61"/>
    </row>
    <row r="126" spans="1:3" ht="14.25" customHeight="1">
      <c r="A126" s="61"/>
      <c r="B126" s="63"/>
      <c r="C126" s="61"/>
    </row>
    <row r="127" spans="1:3" ht="14.25" customHeight="1">
      <c r="A127" s="61"/>
      <c r="B127" s="63"/>
      <c r="C127" s="61"/>
    </row>
    <row r="128" spans="1:3" ht="14.25" customHeight="1">
      <c r="A128" s="61"/>
      <c r="B128" s="63"/>
      <c r="C128" s="61"/>
    </row>
    <row r="129" spans="1:3" ht="14.25" customHeight="1">
      <c r="A129" s="61"/>
      <c r="B129" s="63"/>
      <c r="C129" s="61"/>
    </row>
    <row r="130" spans="1:3" ht="14.25" customHeight="1">
      <c r="A130" s="61"/>
      <c r="B130" s="63"/>
      <c r="C130" s="61"/>
    </row>
    <row r="131" spans="1:3" ht="14.25" customHeight="1">
      <c r="A131" s="61"/>
      <c r="B131" s="63"/>
      <c r="C131" s="61"/>
    </row>
    <row r="132" spans="1:3" ht="14.25" customHeight="1">
      <c r="A132" s="61"/>
      <c r="B132" s="63"/>
      <c r="C132" s="61"/>
    </row>
    <row r="133" spans="1:3" ht="14.25" customHeight="1">
      <c r="A133" s="61"/>
      <c r="B133" s="63"/>
      <c r="C133" s="61"/>
    </row>
    <row r="134" spans="1:3" ht="14.25" customHeight="1">
      <c r="A134" s="61"/>
      <c r="B134" s="63"/>
      <c r="C134" s="61"/>
    </row>
    <row r="135" spans="1:3" ht="14.25" customHeight="1">
      <c r="A135" s="61"/>
      <c r="B135" s="63"/>
      <c r="C135" s="61"/>
    </row>
    <row r="136" spans="1:3" ht="14.25" customHeight="1">
      <c r="A136" s="61"/>
      <c r="B136" s="63"/>
      <c r="C136" s="61"/>
    </row>
    <row r="137" spans="1:3" ht="14.25" customHeight="1">
      <c r="A137" s="61"/>
      <c r="B137" s="63"/>
      <c r="C137" s="61"/>
    </row>
    <row r="138" spans="1:3" ht="14.25" customHeight="1">
      <c r="A138" s="61"/>
      <c r="B138" s="63"/>
      <c r="C138" s="61"/>
    </row>
    <row r="139" spans="1:3" ht="14.25" customHeight="1">
      <c r="A139" s="61"/>
      <c r="B139" s="63"/>
      <c r="C139" s="61"/>
    </row>
    <row r="140" spans="1:3" ht="14.25" customHeight="1">
      <c r="A140" s="61"/>
      <c r="B140" s="63"/>
      <c r="C140" s="61"/>
    </row>
    <row r="141" spans="1:3" ht="14.25" customHeight="1">
      <c r="A141" s="61"/>
      <c r="B141" s="63"/>
      <c r="C141" s="61"/>
    </row>
    <row r="142" spans="1:3" ht="14.25" customHeight="1">
      <c r="A142" s="61"/>
      <c r="B142" s="63"/>
      <c r="C142" s="61"/>
    </row>
    <row r="143" spans="1:3" ht="14.25" customHeight="1">
      <c r="A143" s="61"/>
      <c r="B143" s="63"/>
      <c r="C143" s="61"/>
    </row>
    <row r="144" spans="1:3" ht="14.25" customHeight="1">
      <c r="A144" s="61"/>
      <c r="B144" s="63"/>
      <c r="C144" s="61"/>
    </row>
    <row r="145" spans="1:3" ht="14.25" customHeight="1">
      <c r="A145" s="61"/>
      <c r="B145" s="63"/>
      <c r="C145" s="61"/>
    </row>
    <row r="146" spans="1:3" ht="14.25" customHeight="1">
      <c r="A146" s="61"/>
      <c r="B146" s="64"/>
      <c r="C146" s="61"/>
    </row>
    <row r="147" spans="1:3" ht="14.25" customHeight="1">
      <c r="A147" s="61"/>
      <c r="B147" s="64"/>
      <c r="C147" s="65"/>
    </row>
    <row r="148" spans="1:3" ht="14.25" customHeight="1">
      <c r="A148" s="61"/>
      <c r="B148" s="64"/>
      <c r="C148" s="65"/>
    </row>
    <row r="149" spans="1:3" ht="14.25" customHeight="1">
      <c r="A149" s="61"/>
      <c r="B149" s="64"/>
      <c r="C149" s="65"/>
    </row>
    <row r="150" spans="1:3" ht="14.25" customHeight="1">
      <c r="A150" s="61"/>
      <c r="B150" s="64"/>
      <c r="C150" s="65"/>
    </row>
    <row r="151" spans="1:3" ht="14.25" customHeight="1">
      <c r="A151" s="61"/>
      <c r="B151" s="64"/>
      <c r="C151" s="65"/>
    </row>
    <row r="152" spans="1:3" ht="14.25" customHeight="1">
      <c r="A152" s="61"/>
      <c r="B152" s="64"/>
      <c r="C152" s="65"/>
    </row>
    <row r="153" spans="1:3" ht="14.25" customHeight="1">
      <c r="A153" s="61"/>
      <c r="B153" s="64"/>
      <c r="C153" s="65"/>
    </row>
    <row r="154" spans="1:3" ht="14.25" customHeight="1">
      <c r="A154" s="61"/>
      <c r="B154" s="64"/>
      <c r="C154" s="65"/>
    </row>
    <row r="155" spans="1:3" ht="14.25" customHeight="1">
      <c r="A155" s="61"/>
      <c r="B155" s="64"/>
      <c r="C155" s="65"/>
    </row>
    <row r="156" spans="1:3" ht="14.25" customHeight="1">
      <c r="A156" s="61"/>
      <c r="B156" s="64"/>
      <c r="C156" s="65"/>
    </row>
    <row r="157" spans="1:3" ht="14.25" customHeight="1">
      <c r="A157" s="61"/>
      <c r="B157" s="64"/>
      <c r="C157" s="65"/>
    </row>
    <row r="158" spans="1:3" ht="14.25" customHeight="1">
      <c r="A158" s="61"/>
      <c r="B158" s="64"/>
      <c r="C158" s="65"/>
    </row>
    <row r="159" spans="1:3" ht="14.25" customHeight="1">
      <c r="A159" s="61"/>
      <c r="B159" s="64"/>
      <c r="C159" s="65"/>
    </row>
    <row r="160" spans="1:3" ht="14.25" customHeight="1">
      <c r="A160" s="61"/>
      <c r="B160" s="64"/>
      <c r="C160" s="65"/>
    </row>
    <row r="161" spans="1:3" ht="14.25" customHeight="1">
      <c r="A161" s="61"/>
      <c r="B161" s="64"/>
      <c r="C161" s="65"/>
    </row>
    <row r="162" spans="1:3" ht="14.25" customHeight="1">
      <c r="A162" s="61"/>
      <c r="B162" s="64"/>
      <c r="C162" s="65"/>
    </row>
    <row r="163" spans="1:3" ht="14.25" customHeight="1">
      <c r="A163" s="61"/>
      <c r="B163" s="64"/>
      <c r="C163" s="65"/>
    </row>
    <row r="164" spans="1:3" ht="14.25" customHeight="1">
      <c r="A164" s="61"/>
      <c r="B164" s="64"/>
      <c r="C164" s="65"/>
    </row>
    <row r="165" spans="1:3" ht="14.25" customHeight="1">
      <c r="A165" s="61"/>
      <c r="B165" s="64"/>
      <c r="C165" s="65"/>
    </row>
    <row r="166" spans="1:3" ht="14.25" customHeight="1">
      <c r="A166" s="61"/>
      <c r="B166" s="64"/>
      <c r="C166" s="65"/>
    </row>
    <row r="167" spans="1:3" ht="14.25" customHeight="1">
      <c r="A167" s="61"/>
      <c r="B167" s="64"/>
      <c r="C167" s="65"/>
    </row>
    <row r="168" spans="1:3" ht="14.25" customHeight="1">
      <c r="A168" s="61"/>
      <c r="B168" s="64"/>
      <c r="C168" s="65"/>
    </row>
    <row r="169" spans="1:3" ht="14.25" customHeight="1">
      <c r="A169" s="61"/>
      <c r="B169" s="64"/>
      <c r="C169" s="65"/>
    </row>
    <row r="170" spans="1:3" ht="14.25" customHeight="1"/>
    <row r="171" spans="1:3" ht="14.25" customHeight="1"/>
    <row r="172" spans="1:3" ht="14.25" customHeight="1"/>
    <row r="173" spans="1:3" ht="14.25" customHeight="1"/>
    <row r="174" spans="1:3" ht="14.25" customHeight="1"/>
    <row r="175" spans="1:3" ht="14.25" customHeight="1"/>
    <row r="176" spans="1:3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0FFA-A4DC-403C-9A8A-78228095400F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</dc:creator>
  <cp:lastModifiedBy>Aditya P</cp:lastModifiedBy>
  <dcterms:created xsi:type="dcterms:W3CDTF">2024-11-08T06:17:44Z</dcterms:created>
  <dcterms:modified xsi:type="dcterms:W3CDTF">2026-07-12T19:42:08Z</dcterms:modified>
</cp:coreProperties>
</file>